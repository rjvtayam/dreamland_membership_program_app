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eference Tables" sheetId="2" state="visible" r:id="rId4"/>
    <sheet name="Qualifier Registry" sheetId="3" state="visible" r:id="rId5"/>
    <sheet name="Qualifier Log" sheetId="4" state="visible" r:id="rId6"/>
    <sheet name="Silver Registry" sheetId="5" state="visible" r:id="rId7"/>
    <sheet name="Silver Log" sheetId="6" state="visible" r:id="rId8"/>
    <sheet name="Gold Registry" sheetId="7" state="visible" r:id="rId9"/>
    <sheet name="Gold Log" sheetId="8" state="visible" r:id="rId10"/>
    <sheet name="Black Registry" sheetId="9" state="visible" r:id="rId11"/>
    <sheet name="Black Log" sheetId="10" state="visible" r:id="rId12"/>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Example row — replace with your first real member on this tier, or delete it.</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Example row — replace with your first real member on this tier, or delete it.</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Example row — replace with your first real member on this tier, or delete it.</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Example row — replace with your first real member on this tier, or delete it.</t>
        </r>
      </text>
    </comment>
  </commentList>
</comments>
</file>

<file path=xl/sharedStrings.xml><?xml version="1.0" encoding="utf-8"?>
<sst xmlns="http://schemas.openxmlformats.org/spreadsheetml/2006/main" count="202" uniqueCount="98">
  <si>
    <t xml:space="preserve">Dreamland Arcade — Loyalty Points Tracking Sheet</t>
  </si>
  <si>
    <t xml:space="preserve">Each tier has its own Registry and its own Transaction Log, since each tier is a different physical card.</t>
  </si>
  <si>
    <t xml:space="preserve">1. New member walks in</t>
  </si>
  <si>
    <t xml:space="preserve">Give them a Qualifier card. Add one row for them on the 'Qualifier Registry' tab: Card ID, Member Name, Contact Number, Date Registered.</t>
  </si>
  <si>
    <t xml:space="preserve">2. Every purchase gets logged on the matching tab</t>
  </si>
  <si>
    <t xml:space="preserve">If they're holding a Qualifier card, log the sale on 'Qualifier Log'. Silver card holder, log it on 'Silver Log'. And so on. Enter Date, Card ID, Package Purchased, and Staff/Cashier. Everything else fills itself in.</t>
  </si>
  <si>
    <t xml:space="preserve">3. Watch the 'Ready to Upgrade?' column</t>
  </si>
  <si>
    <t xml:space="preserve">It's the last column on every Registry tab. The moment a member's Total Points reaches the next tier's threshold, it tells you which new card to issue.</t>
  </si>
  <si>
    <t xml:space="preserve">4. Issuing a new card (tier upgrade)</t>
  </si>
  <si>
    <t xml:space="preserve">Print/hand over the new tier's card with a NEW Card ID. Add a row for them on that tier's Registry tab, and fill in 'Previous Card ID' with their old card's ID. Their point total carries forward automatically. Mark the old card's Status as 'Upgraded' on its original Registry tab so it's clear that card is retired. Also mark 'Welcome Bonus Issued' once you hand over the one-time bonus tokens.</t>
  </si>
  <si>
    <t xml:space="preserve">5. Discounts at the counter</t>
  </si>
  <si>
    <t xml:space="preserve">Each tier's Log tab already has that tier's discount % built in. It only applies when the purchase is ₱150 or more, columns H–J show whether it qualifies, the peso discount, and the final amount to collect.</t>
  </si>
  <si>
    <t xml:space="preserve">Suggested Card ID format</t>
  </si>
  <si>
    <t xml:space="preserve">So IDs never collide across tiers, prefix by tier: DLA-Q-000001 (Qualifier), DLA-S-000001 (Silver), DLA-G-000001 (Gold), DLA-B-000001 (Black). Not required, just makes them easier to tell apart at a glance.</t>
  </si>
  <si>
    <t xml:space="preserve">Color legend</t>
  </si>
  <si>
    <t xml:space="preserve">Yellow cells</t>
  </si>
  <si>
    <t xml:space="preserve">Type into these. Everything else is a formula, don't overwrite it.</t>
  </si>
  <si>
    <t xml:space="preserve">Blue text</t>
  </si>
  <si>
    <t xml:space="preserve">A number or value you typed in.</t>
  </si>
  <si>
    <t xml:space="preserve">Black text</t>
  </si>
  <si>
    <t xml:space="preserve">A formula. Leave it alone.</t>
  </si>
  <si>
    <t xml:space="preserve">Assumptions used in this sheet</t>
  </si>
  <si>
    <t xml:space="preserve">Tier thresholds</t>
  </si>
  <si>
    <t xml:space="preserve">Silver 1,000 pts / Gold 3,500 pts / Black 5,500 pts, from the Qualification Tiers table you sent. Your printed Silver card shows 600 instead of 1,000 — confirm which is correct and edit 'Reference Tables' cell B14 if needed.</t>
  </si>
  <si>
    <t xml:space="preserve">Points per package</t>
  </si>
  <si>
    <t xml:space="preserve">Fixed points per token package (1, 5, 10, 20, 30, or 50 tokens), taken from your Points Earning Rate table. It's not a straight per-peso rate. Add a row to 'Reference Tables' if you introduce a new package size.</t>
  </si>
  <si>
    <t xml:space="preserve">Points carry forward across cards</t>
  </si>
  <si>
    <t xml:space="preserve">A member's Total Points on a new tier's card = points already banked on their previous card + points earned on the new one. This only works if you fill in 'Previous Card ID' correctly when you register the upgraded card.</t>
  </si>
  <si>
    <t xml:space="preserve">Welcome bonus tokens</t>
  </si>
  <si>
    <t xml:space="preserve">One-time per tier, per the cards. This sheet never hands them out automatically, it only flags when one is due. A staff member still has to physically hand over the tokens and mark Y.</t>
  </si>
  <si>
    <t xml:space="preserve">POINTS EARNING RATE — per token package purchased</t>
  </si>
  <si>
    <t xml:space="preserve">Token Package</t>
  </si>
  <si>
    <t xml:space="preserve">Cash Value (₱)</t>
  </si>
  <si>
    <t xml:space="preserve">Points Earned</t>
  </si>
  <si>
    <t xml:space="preserve">1 Token</t>
  </si>
  <si>
    <t xml:space="preserve">5 Tokens</t>
  </si>
  <si>
    <t xml:space="preserve">10 Tokens</t>
  </si>
  <si>
    <t xml:space="preserve">20 Tokens</t>
  </si>
  <si>
    <t xml:space="preserve">30 Tokens</t>
  </si>
  <si>
    <t xml:space="preserve">50 Tokens</t>
  </si>
  <si>
    <t xml:space="preserve">Source: Points Earning Rate table provided by RJ, Aug 2026.</t>
  </si>
  <si>
    <t xml:space="preserve">TIER QUALIFICATION</t>
  </si>
  <si>
    <t xml:space="preserve">Tier</t>
  </si>
  <si>
    <t xml:space="preserve">Points Required</t>
  </si>
  <si>
    <t xml:space="preserve">Discount %</t>
  </si>
  <si>
    <t xml:space="preserve">Welcome Bonus (Tokens, one-time)</t>
  </si>
  <si>
    <t xml:space="preserve">Qualifier</t>
  </si>
  <si>
    <t xml:space="preserve">Silver</t>
  </si>
  <si>
    <t xml:space="preserve">Gold</t>
  </si>
  <si>
    <t xml:space="preserve">Black</t>
  </si>
  <si>
    <t xml:space="preserve">Note: Silver threshold here (1,000) is from the Qualification Tiers table you sent. Your printed Silver card shows 600 — confirm which is correct and edit B14 if needed.</t>
  </si>
  <si>
    <t xml:space="preserve">Qualifier Registry</t>
  </si>
  <si>
    <t xml:space="preserve">Members currently holding a Qualifier card. Yellow = type it in.</t>
  </si>
  <si>
    <t xml:space="preserve">Card ID</t>
  </si>
  <si>
    <t xml:space="preserve">Member Name</t>
  </si>
  <si>
    <t xml:space="preserve">Contact Number</t>
  </si>
  <si>
    <t xml:space="preserve">Date Registered</t>
  </si>
  <si>
    <t xml:space="preserve">Points Earned
(This Card)</t>
  </si>
  <si>
    <t xml:space="preserve">Total Points</t>
  </si>
  <si>
    <t xml:space="preserve">Status
(Active/Upgraded)</t>
  </si>
  <si>
    <t xml:space="preserve">Ready to Upgrade?</t>
  </si>
  <si>
    <t xml:space="preserve">DLA-Q-000001</t>
  </si>
  <si>
    <t xml:space="preserve">Juan Dela Cruz</t>
  </si>
  <si>
    <t xml:space="preserve">0917-123-4567</t>
  </si>
  <si>
    <t xml:space="preserve">2026-01-15</t>
  </si>
  <si>
    <t xml:space="preserve">Upgraded</t>
  </si>
  <si>
    <t xml:space="preserve">Qualifier Transaction Log</t>
  </si>
  <si>
    <t xml:space="preserve">Every token purchase made by a Qualifier card holder. Yellow = type it in.</t>
  </si>
  <si>
    <t xml:space="preserve">Date</t>
  </si>
  <si>
    <t xml:space="preserve">Package Purchased</t>
  </si>
  <si>
    <t xml:space="preserve">Discount Eligible
(₱150+)</t>
  </si>
  <si>
    <t xml:space="preserve">Discount Amount (₱)</t>
  </si>
  <si>
    <t xml:space="preserve">Amount to Collect (₱)</t>
  </si>
  <si>
    <t xml:space="preserve">Staff / Cashier</t>
  </si>
  <si>
    <t xml:space="preserve">Notes</t>
  </si>
  <si>
    <t xml:space="preserve">2026-08-10</t>
  </si>
  <si>
    <t xml:space="preserve">Anne</t>
  </si>
  <si>
    <t xml:space="preserve">Example entry</t>
  </si>
  <si>
    <t xml:space="preserve">Silver Registry</t>
  </si>
  <si>
    <t xml:space="preserve">Members currently holding a Silver card. Yellow = type it in.</t>
  </si>
  <si>
    <t xml:space="preserve">Previous Card ID</t>
  </si>
  <si>
    <t xml:space="preserve">Points Carried
Over</t>
  </si>
  <si>
    <t xml:space="preserve">Welcome Bonus
Issued (Y/N)</t>
  </si>
  <si>
    <t xml:space="preserve">DLA-S-000001</t>
  </si>
  <si>
    <t xml:space="preserve">N</t>
  </si>
  <si>
    <t xml:space="preserve">Silver Transaction Log</t>
  </si>
  <si>
    <t xml:space="preserve">Every token purchase made by a Silver card holder. Yellow = type it in.</t>
  </si>
  <si>
    <t xml:space="preserve">Gold Registry</t>
  </si>
  <si>
    <t xml:space="preserve">Members currently holding a Gold card. Yellow = type it in.</t>
  </si>
  <si>
    <t xml:space="preserve">DLA-G-000001</t>
  </si>
  <si>
    <t xml:space="preserve">Gold Transaction Log</t>
  </si>
  <si>
    <t xml:space="preserve">Every token purchase made by a Gold card holder. Yellow = type it in.</t>
  </si>
  <si>
    <t xml:space="preserve">Black Registry</t>
  </si>
  <si>
    <t xml:space="preserve">Members currently holding a Black card. Yellow = type it in.</t>
  </si>
  <si>
    <t xml:space="preserve">DLA-B-000001</t>
  </si>
  <si>
    <t xml:space="preserve">Active</t>
  </si>
  <si>
    <t xml:space="preserve">Black Transaction Log</t>
  </si>
  <si>
    <t xml:space="preserve">Every token purchase made by a Black card holder. Yellow = type it in.</t>
  </si>
</sst>
</file>

<file path=xl/styles.xml><?xml version="1.0" encoding="utf-8"?>
<styleSheet xmlns="http://schemas.openxmlformats.org/spreadsheetml/2006/main">
  <numFmts count="5">
    <numFmt numFmtId="164" formatCode="General"/>
    <numFmt numFmtId="165" formatCode="\₱#,##0"/>
    <numFmt numFmtId="166" formatCode="0%"/>
    <numFmt numFmtId="167" formatCode="yyyy\-mm\-dd"/>
    <numFmt numFmtId="168"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2937"/>
      <name val="Arial"/>
      <family val="0"/>
      <charset val="1"/>
    </font>
    <font>
      <i val="true"/>
      <sz val="10"/>
      <color rgb="FF555555"/>
      <name val="Arial"/>
      <family val="0"/>
      <charset val="1"/>
    </font>
    <font>
      <b val="true"/>
      <sz val="10"/>
      <name val="Arial"/>
      <family val="0"/>
      <charset val="1"/>
    </font>
    <font>
      <sz val="10"/>
      <name val="Arial"/>
      <family val="0"/>
      <charset val="1"/>
    </font>
    <font>
      <b val="true"/>
      <sz val="11"/>
      <color rgb="FFFFFFFF"/>
      <name val="Arial"/>
      <family val="0"/>
      <charset val="1"/>
    </font>
    <font>
      <sz val="11"/>
      <color rgb="FF0000FF"/>
      <name val="Arial"/>
      <family val="0"/>
      <charset val="1"/>
    </font>
    <font>
      <sz val="11"/>
      <color rgb="FF000000"/>
      <name val="Arial"/>
      <family val="0"/>
      <charset val="1"/>
    </font>
    <font>
      <sz val="10"/>
      <name val="Arial"/>
      <family val="2"/>
    </font>
  </fonts>
  <fills count="8">
    <fill>
      <patternFill patternType="none"/>
    </fill>
    <fill>
      <patternFill patternType="gray125"/>
    </fill>
    <fill>
      <patternFill patternType="solid">
        <fgColor rgb="FF1F2937"/>
        <bgColor rgb="FF212121"/>
      </patternFill>
    </fill>
    <fill>
      <patternFill patternType="solid">
        <fgColor rgb="FFFFF9C4"/>
        <bgColor rgb="FFFFFF99"/>
      </patternFill>
    </fill>
    <fill>
      <patternFill patternType="solid">
        <fgColor rgb="FF1565C0"/>
        <bgColor rgb="FF3366FF"/>
      </patternFill>
    </fill>
    <fill>
      <patternFill patternType="solid">
        <fgColor rgb="FF616161"/>
        <bgColor rgb="FF555555"/>
      </patternFill>
    </fill>
    <fill>
      <patternFill patternType="solid">
        <fgColor rgb="FFB8860B"/>
        <bgColor rgb="FFFF9900"/>
      </patternFill>
    </fill>
    <fill>
      <patternFill patternType="solid">
        <fgColor rgb="FF212121"/>
        <bgColor rgb="FF1F2937"/>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8860B"/>
      <rgbColor rgb="FF800080"/>
      <rgbColor rgb="FF008080"/>
      <rgbColor rgb="FFCCCCCC"/>
      <rgbColor rgb="FF808080"/>
      <rgbColor rgb="FF9999FF"/>
      <rgbColor rgb="FF993366"/>
      <rgbColor rgb="FFFFF9C4"/>
      <rgbColor rgb="FFCCFFFF"/>
      <rgbColor rgb="FF660066"/>
      <rgbColor rgb="FFFF8080"/>
      <rgbColor rgb="FF1565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16161"/>
      <rgbColor rgb="FF969696"/>
      <rgbColor rgb="FF003366"/>
      <rgbColor rgb="FF339966"/>
      <rgbColor rgb="FF003300"/>
      <rgbColor rgb="FF212121"/>
      <rgbColor rgb="FF993300"/>
      <rgbColor rgb="FF993366"/>
      <rgbColor rgb="FF555555"/>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3.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5" customFormat="false" ht="30" hidden="false" customHeight="true" outlineLevel="0" collapsed="false">
      <c r="A5" s="3" t="s">
        <v>2</v>
      </c>
      <c r="B5" s="4" t="s">
        <v>3</v>
      </c>
    </row>
    <row r="6" customFormat="false" ht="30" hidden="false" customHeight="true" outlineLevel="0" collapsed="false">
      <c r="A6" s="3" t="s">
        <v>4</v>
      </c>
      <c r="B6" s="4" t="s">
        <v>5</v>
      </c>
    </row>
    <row r="7" customFormat="false" ht="30" hidden="false" customHeight="true" outlineLevel="0" collapsed="false">
      <c r="A7" s="3" t="s">
        <v>6</v>
      </c>
      <c r="B7" s="4" t="s">
        <v>7</v>
      </c>
    </row>
    <row r="8" customFormat="false" ht="30" hidden="false" customHeight="true" outlineLevel="0" collapsed="false">
      <c r="A8" s="3" t="s">
        <v>8</v>
      </c>
      <c r="B8" s="4" t="s">
        <v>9</v>
      </c>
    </row>
    <row r="9" customFormat="false" ht="30" hidden="false" customHeight="true" outlineLevel="0" collapsed="false">
      <c r="A9" s="3" t="s">
        <v>10</v>
      </c>
      <c r="B9" s="4" t="s">
        <v>11</v>
      </c>
    </row>
    <row r="11" customFormat="false" ht="30" hidden="false" customHeight="true" outlineLevel="0" collapsed="false">
      <c r="A11" s="3" t="s">
        <v>12</v>
      </c>
      <c r="B11" s="4" t="s">
        <v>13</v>
      </c>
    </row>
    <row r="13" customFormat="false" ht="15.75" hidden="false" customHeight="true" outlineLevel="0" collapsed="false">
      <c r="A13" s="3" t="s">
        <v>14</v>
      </c>
      <c r="B13" s="4"/>
    </row>
    <row r="14" customFormat="false" ht="30" hidden="false" customHeight="true" outlineLevel="0" collapsed="false">
      <c r="A14" s="3" t="s">
        <v>15</v>
      </c>
      <c r="B14" s="4" t="s">
        <v>16</v>
      </c>
    </row>
    <row r="15" customFormat="false" ht="30" hidden="false" customHeight="true" outlineLevel="0" collapsed="false">
      <c r="A15" s="3" t="s">
        <v>17</v>
      </c>
      <c r="B15" s="4" t="s">
        <v>18</v>
      </c>
    </row>
    <row r="16" customFormat="false" ht="30" hidden="false" customHeight="true" outlineLevel="0" collapsed="false">
      <c r="A16" s="3" t="s">
        <v>19</v>
      </c>
      <c r="B16" s="4" t="s">
        <v>20</v>
      </c>
    </row>
    <row r="18" customFormat="false" ht="15.75" hidden="false" customHeight="true" outlineLevel="0" collapsed="false">
      <c r="A18" s="3" t="s">
        <v>21</v>
      </c>
      <c r="B18" s="4"/>
    </row>
    <row r="19" customFormat="false" ht="30" hidden="false" customHeight="true" outlineLevel="0" collapsed="false">
      <c r="A19" s="3" t="s">
        <v>22</v>
      </c>
      <c r="B19" s="4" t="s">
        <v>23</v>
      </c>
    </row>
    <row r="20" customFormat="false" ht="30" hidden="false" customHeight="true" outlineLevel="0" collapsed="false">
      <c r="A20" s="3" t="s">
        <v>24</v>
      </c>
      <c r="B20" s="4" t="s">
        <v>25</v>
      </c>
    </row>
    <row r="21" customFormat="false" ht="30" hidden="false" customHeight="true" outlineLevel="0" collapsed="false">
      <c r="A21" s="3" t="s">
        <v>26</v>
      </c>
      <c r="B21" s="4" t="s">
        <v>27</v>
      </c>
    </row>
    <row r="22" customFormat="false" ht="30" hidden="false" customHeight="true" outlineLevel="0" collapsed="false">
      <c r="A22" s="3" t="s">
        <v>28</v>
      </c>
      <c r="B22" s="4"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6"/>
    <col collapsed="false" customWidth="true" hidden="false" outlineLevel="0" max="3" min="3" style="0" width="12"/>
    <col collapsed="false" customWidth="true" hidden="false" outlineLevel="0" max="4" min="4" style="0" width="30"/>
  </cols>
  <sheetData>
    <row r="1" customFormat="false" ht="17.35" hidden="false" customHeight="false" outlineLevel="0" collapsed="false">
      <c r="A1" s="1" t="s">
        <v>30</v>
      </c>
    </row>
    <row r="2" customFormat="false" ht="26.85" hidden="false" customHeight="false" outlineLevel="0" collapsed="false">
      <c r="A2" s="5" t="s">
        <v>31</v>
      </c>
      <c r="B2" s="5" t="s">
        <v>32</v>
      </c>
      <c r="C2" s="5" t="s">
        <v>33</v>
      </c>
    </row>
    <row r="3" customFormat="false" ht="15" hidden="false" customHeight="false" outlineLevel="0" collapsed="false">
      <c r="A3" s="6" t="s">
        <v>34</v>
      </c>
      <c r="B3" s="7" t="n">
        <v>5</v>
      </c>
      <c r="C3" s="6" t="n">
        <v>1</v>
      </c>
    </row>
    <row r="4" customFormat="false" ht="15" hidden="false" customHeight="false" outlineLevel="0" collapsed="false">
      <c r="A4" s="6" t="s">
        <v>35</v>
      </c>
      <c r="B4" s="7" t="n">
        <v>25</v>
      </c>
      <c r="C4" s="6" t="n">
        <v>1</v>
      </c>
    </row>
    <row r="5" customFormat="false" ht="15" hidden="false" customHeight="false" outlineLevel="0" collapsed="false">
      <c r="A5" s="6" t="s">
        <v>36</v>
      </c>
      <c r="B5" s="7" t="n">
        <v>50</v>
      </c>
      <c r="C5" s="6" t="n">
        <v>5</v>
      </c>
    </row>
    <row r="6" customFormat="false" ht="15" hidden="false" customHeight="false" outlineLevel="0" collapsed="false">
      <c r="A6" s="6" t="s">
        <v>37</v>
      </c>
      <c r="B6" s="7" t="n">
        <v>100</v>
      </c>
      <c r="C6" s="6" t="n">
        <v>10</v>
      </c>
    </row>
    <row r="7" customFormat="false" ht="15" hidden="false" customHeight="false" outlineLevel="0" collapsed="false">
      <c r="A7" s="6" t="s">
        <v>38</v>
      </c>
      <c r="B7" s="7" t="n">
        <v>150</v>
      </c>
      <c r="C7" s="6" t="n">
        <v>15</v>
      </c>
    </row>
    <row r="8" customFormat="false" ht="15" hidden="false" customHeight="false" outlineLevel="0" collapsed="false">
      <c r="A8" s="6" t="s">
        <v>39</v>
      </c>
      <c r="B8" s="7" t="n">
        <v>250</v>
      </c>
      <c r="C8" s="6" t="n">
        <v>20</v>
      </c>
    </row>
    <row r="9" customFormat="false" ht="15" hidden="false" customHeight="false" outlineLevel="0" collapsed="false">
      <c r="A9" s="2" t="s">
        <v>40</v>
      </c>
    </row>
    <row r="11" customFormat="false" ht="17.35" hidden="false" customHeight="false" outlineLevel="0" collapsed="false">
      <c r="A11" s="1" t="s">
        <v>41</v>
      </c>
    </row>
    <row r="12" customFormat="false" ht="26.85" hidden="false" customHeight="false" outlineLevel="0" collapsed="false">
      <c r="A12" s="5" t="s">
        <v>42</v>
      </c>
      <c r="B12" s="5" t="s">
        <v>43</v>
      </c>
      <c r="C12" s="5" t="s">
        <v>44</v>
      </c>
      <c r="D12" s="5" t="s">
        <v>45</v>
      </c>
    </row>
    <row r="13" customFormat="false" ht="15" hidden="false" customHeight="false" outlineLevel="0" collapsed="false">
      <c r="A13" s="6" t="s">
        <v>46</v>
      </c>
      <c r="B13" s="6" t="n">
        <v>0</v>
      </c>
      <c r="C13" s="8" t="n">
        <v>0</v>
      </c>
      <c r="D13" s="6" t="n">
        <v>0</v>
      </c>
    </row>
    <row r="14" customFormat="false" ht="15" hidden="false" customHeight="false" outlineLevel="0" collapsed="false">
      <c r="A14" s="6" t="s">
        <v>47</v>
      </c>
      <c r="B14" s="6" t="n">
        <v>1000</v>
      </c>
      <c r="C14" s="8" t="n">
        <v>0.05</v>
      </c>
      <c r="D14" s="6" t="n">
        <v>100</v>
      </c>
    </row>
    <row r="15" customFormat="false" ht="15" hidden="false" customHeight="false" outlineLevel="0" collapsed="false">
      <c r="A15" s="6" t="s">
        <v>48</v>
      </c>
      <c r="B15" s="6" t="n">
        <v>3500</v>
      </c>
      <c r="C15" s="8" t="n">
        <v>0.1</v>
      </c>
      <c r="D15" s="6" t="n">
        <v>150</v>
      </c>
    </row>
    <row r="16" customFormat="false" ht="15" hidden="false" customHeight="false" outlineLevel="0" collapsed="false">
      <c r="A16" s="6" t="s">
        <v>49</v>
      </c>
      <c r="B16" s="6" t="n">
        <v>5500</v>
      </c>
      <c r="C16" s="8" t="n">
        <v>0.15</v>
      </c>
      <c r="D16" s="6" t="n">
        <v>250</v>
      </c>
    </row>
    <row r="18" customFormat="false" ht="30" hidden="false" customHeight="true" outlineLevel="0" collapsed="false">
      <c r="A18" s="9" t="s">
        <v>50</v>
      </c>
      <c r="B18" s="9"/>
      <c r="C18" s="9"/>
      <c r="D18" s="9"/>
    </row>
  </sheetData>
  <mergeCells count="1">
    <mergeCell ref="A18:D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16"/>
    <col collapsed="false" customWidth="true" hidden="false" outlineLevel="0" max="4" min="4" style="0" width="15"/>
    <col collapsed="false" customWidth="true" hidden="false" outlineLevel="0" max="5" min="5" style="0" width="14"/>
    <col collapsed="false" customWidth="true" hidden="false" outlineLevel="0" max="6" min="6" style="0" width="12"/>
    <col collapsed="false" customWidth="true" hidden="false" outlineLevel="0" max="7" min="7" style="0" width="16"/>
    <col collapsed="false" customWidth="true" hidden="false" outlineLevel="0" max="8" min="8" style="0" width="26"/>
  </cols>
  <sheetData>
    <row r="1" customFormat="false" ht="17.35" hidden="false" customHeight="false" outlineLevel="0" collapsed="false">
      <c r="A1" s="1" t="s">
        <v>51</v>
      </c>
    </row>
    <row r="2" customFormat="false" ht="15" hidden="false" customHeight="false" outlineLevel="0" collapsed="false">
      <c r="A2" s="2" t="s">
        <v>52</v>
      </c>
    </row>
    <row r="3" customFormat="false" ht="31.5" hidden="false" customHeight="true" outlineLevel="0" collapsed="false">
      <c r="A3" s="10" t="s">
        <v>53</v>
      </c>
      <c r="B3" s="10" t="s">
        <v>54</v>
      </c>
      <c r="C3" s="10" t="s">
        <v>55</v>
      </c>
      <c r="D3" s="10" t="s">
        <v>56</v>
      </c>
      <c r="E3" s="10" t="s">
        <v>57</v>
      </c>
      <c r="F3" s="10" t="s">
        <v>58</v>
      </c>
      <c r="G3" s="10" t="s">
        <v>59</v>
      </c>
      <c r="H3" s="10" t="s">
        <v>60</v>
      </c>
    </row>
    <row r="4" customFormat="false" ht="15" hidden="false" customHeight="false" outlineLevel="0" collapsed="false">
      <c r="A4" s="6" t="s">
        <v>61</v>
      </c>
      <c r="B4" s="6" t="s">
        <v>62</v>
      </c>
      <c r="C4" s="6" t="s">
        <v>63</v>
      </c>
      <c r="D4" s="11" t="s">
        <v>64</v>
      </c>
      <c r="E4" s="12" t="n">
        <f aca="false">IF(A4="","",SUMIFS('Qualifier Log'!$F$4:$F$1000,'Qualifier Log'!$B$4:$B$1000,A4))</f>
        <v>10</v>
      </c>
      <c r="F4" s="12" t="n">
        <f aca="false">IF(A4="","",E4)</f>
        <v>10</v>
      </c>
      <c r="G4" s="6" t="s">
        <v>65</v>
      </c>
      <c r="H4" s="12" t="str">
        <f aca="false">IF(A4="","",IF(F4&gt;='Reference Tables'!$B$14,"Yes — issue Silver card","-"))</f>
        <v>-</v>
      </c>
    </row>
    <row r="5" customFormat="false" ht="15" hidden="false" customHeight="false" outlineLevel="0" collapsed="false">
      <c r="A5" s="6"/>
      <c r="B5" s="6"/>
      <c r="C5" s="6"/>
      <c r="D5" s="11"/>
      <c r="E5" s="12" t="str">
        <f aca="false">IF(A5="","",SUMIFS('Qualifier Log'!$F$4:$F$1000,'Qualifier Log'!$B$4:$B$1000,A5))</f>
        <v/>
      </c>
      <c r="F5" s="12" t="str">
        <f aca="false">IF(A5="","",E5)</f>
        <v/>
      </c>
      <c r="G5" s="6"/>
      <c r="H5" s="12" t="str">
        <f aca="false">IF(A5="","",IF(F5&gt;='Reference Tables'!$B$14,"Yes — issue Silver card","-"))</f>
        <v/>
      </c>
    </row>
    <row r="6" customFormat="false" ht="15" hidden="false" customHeight="false" outlineLevel="0" collapsed="false">
      <c r="A6" s="6"/>
      <c r="B6" s="6"/>
      <c r="C6" s="6"/>
      <c r="D6" s="11"/>
      <c r="E6" s="12" t="str">
        <f aca="false">IF(A6="","",SUMIFS('Qualifier Log'!$F$4:$F$1000,'Qualifier Log'!$B$4:$B$1000,A6))</f>
        <v/>
      </c>
      <c r="F6" s="12" t="str">
        <f aca="false">IF(A6="","",E6)</f>
        <v/>
      </c>
      <c r="G6" s="6"/>
      <c r="H6" s="12" t="str">
        <f aca="false">IF(A6="","",IF(F6&gt;='Reference Tables'!$B$14,"Yes — issue Silver card","-"))</f>
        <v/>
      </c>
    </row>
    <row r="7" customFormat="false" ht="15" hidden="false" customHeight="false" outlineLevel="0" collapsed="false">
      <c r="A7" s="6"/>
      <c r="B7" s="6"/>
      <c r="C7" s="6"/>
      <c r="D7" s="11"/>
      <c r="E7" s="12" t="str">
        <f aca="false">IF(A7="","",SUMIFS('Qualifier Log'!$F$4:$F$1000,'Qualifier Log'!$B$4:$B$1000,A7))</f>
        <v/>
      </c>
      <c r="F7" s="12" t="str">
        <f aca="false">IF(A7="","",E7)</f>
        <v/>
      </c>
      <c r="G7" s="6"/>
      <c r="H7" s="12" t="str">
        <f aca="false">IF(A7="","",IF(F7&gt;='Reference Tables'!$B$14,"Yes — issue Silver card","-"))</f>
        <v/>
      </c>
    </row>
    <row r="8" customFormat="false" ht="15" hidden="false" customHeight="false" outlineLevel="0" collapsed="false">
      <c r="A8" s="6"/>
      <c r="B8" s="6"/>
      <c r="C8" s="6"/>
      <c r="D8" s="11"/>
      <c r="E8" s="12" t="str">
        <f aca="false">IF(A8="","",SUMIFS('Qualifier Log'!$F$4:$F$1000,'Qualifier Log'!$B$4:$B$1000,A8))</f>
        <v/>
      </c>
      <c r="F8" s="12" t="str">
        <f aca="false">IF(A8="","",E8)</f>
        <v/>
      </c>
      <c r="G8" s="6"/>
      <c r="H8" s="12" t="str">
        <f aca="false">IF(A8="","",IF(F8&gt;='Reference Tables'!$B$14,"Yes — issue Silver card","-"))</f>
        <v/>
      </c>
    </row>
    <row r="9" customFormat="false" ht="15" hidden="false" customHeight="false" outlineLevel="0" collapsed="false">
      <c r="A9" s="6"/>
      <c r="B9" s="6"/>
      <c r="C9" s="6"/>
      <c r="D9" s="11"/>
      <c r="E9" s="12" t="str">
        <f aca="false">IF(A9="","",SUMIFS('Qualifier Log'!$F$4:$F$1000,'Qualifier Log'!$B$4:$B$1000,A9))</f>
        <v/>
      </c>
      <c r="F9" s="12" t="str">
        <f aca="false">IF(A9="","",E9)</f>
        <v/>
      </c>
      <c r="G9" s="6"/>
      <c r="H9" s="12" t="str">
        <f aca="false">IF(A9="","",IF(F9&gt;='Reference Tables'!$B$14,"Yes — issue Silver card","-"))</f>
        <v/>
      </c>
    </row>
    <row r="10" customFormat="false" ht="15" hidden="false" customHeight="false" outlineLevel="0" collapsed="false">
      <c r="A10" s="6"/>
      <c r="B10" s="6"/>
      <c r="C10" s="6"/>
      <c r="D10" s="11"/>
      <c r="E10" s="12" t="str">
        <f aca="false">IF(A10="","",SUMIFS('Qualifier Log'!$F$4:$F$1000,'Qualifier Log'!$B$4:$B$1000,A10))</f>
        <v/>
      </c>
      <c r="F10" s="12" t="str">
        <f aca="false">IF(A10="","",E10)</f>
        <v/>
      </c>
      <c r="G10" s="6"/>
      <c r="H10" s="12" t="str">
        <f aca="false">IF(A10="","",IF(F10&gt;='Reference Tables'!$B$14,"Yes — issue Silver card","-"))</f>
        <v/>
      </c>
    </row>
    <row r="11" customFormat="false" ht="15" hidden="false" customHeight="false" outlineLevel="0" collapsed="false">
      <c r="A11" s="6"/>
      <c r="B11" s="6"/>
      <c r="C11" s="6"/>
      <c r="D11" s="11"/>
      <c r="E11" s="12" t="str">
        <f aca="false">IF(A11="","",SUMIFS('Qualifier Log'!$F$4:$F$1000,'Qualifier Log'!$B$4:$B$1000,A11))</f>
        <v/>
      </c>
      <c r="F11" s="12" t="str">
        <f aca="false">IF(A11="","",E11)</f>
        <v/>
      </c>
      <c r="G11" s="6"/>
      <c r="H11" s="12" t="str">
        <f aca="false">IF(A11="","",IF(F11&gt;='Reference Tables'!$B$14,"Yes — issue Silver card","-"))</f>
        <v/>
      </c>
    </row>
    <row r="12" customFormat="false" ht="15" hidden="false" customHeight="false" outlineLevel="0" collapsed="false">
      <c r="A12" s="6"/>
      <c r="B12" s="6"/>
      <c r="C12" s="6"/>
      <c r="D12" s="11"/>
      <c r="E12" s="12" t="str">
        <f aca="false">IF(A12="","",SUMIFS('Qualifier Log'!$F$4:$F$1000,'Qualifier Log'!$B$4:$B$1000,A12))</f>
        <v/>
      </c>
      <c r="F12" s="12" t="str">
        <f aca="false">IF(A12="","",E12)</f>
        <v/>
      </c>
      <c r="G12" s="6"/>
      <c r="H12" s="12" t="str">
        <f aca="false">IF(A12="","",IF(F12&gt;='Reference Tables'!$B$14,"Yes — issue Silver card","-"))</f>
        <v/>
      </c>
    </row>
    <row r="13" customFormat="false" ht="15" hidden="false" customHeight="false" outlineLevel="0" collapsed="false">
      <c r="A13" s="6"/>
      <c r="B13" s="6"/>
      <c r="C13" s="6"/>
      <c r="D13" s="11"/>
      <c r="E13" s="12" t="str">
        <f aca="false">IF(A13="","",SUMIFS('Qualifier Log'!$F$4:$F$1000,'Qualifier Log'!$B$4:$B$1000,A13))</f>
        <v/>
      </c>
      <c r="F13" s="12" t="str">
        <f aca="false">IF(A13="","",E13)</f>
        <v/>
      </c>
      <c r="G13" s="6"/>
      <c r="H13" s="12" t="str">
        <f aca="false">IF(A13="","",IF(F13&gt;='Reference Tables'!$B$14,"Yes — issue Silver card","-"))</f>
        <v/>
      </c>
    </row>
    <row r="14" customFormat="false" ht="15" hidden="false" customHeight="false" outlineLevel="0" collapsed="false">
      <c r="A14" s="6"/>
      <c r="B14" s="6"/>
      <c r="C14" s="6"/>
      <c r="D14" s="11"/>
      <c r="E14" s="12" t="str">
        <f aca="false">IF(A14="","",SUMIFS('Qualifier Log'!$F$4:$F$1000,'Qualifier Log'!$B$4:$B$1000,A14))</f>
        <v/>
      </c>
      <c r="F14" s="12" t="str">
        <f aca="false">IF(A14="","",E14)</f>
        <v/>
      </c>
      <c r="G14" s="6"/>
      <c r="H14" s="12" t="str">
        <f aca="false">IF(A14="","",IF(F14&gt;='Reference Tables'!$B$14,"Yes — issue Silver card","-"))</f>
        <v/>
      </c>
    </row>
    <row r="15" customFormat="false" ht="15" hidden="false" customHeight="false" outlineLevel="0" collapsed="false">
      <c r="A15" s="6"/>
      <c r="B15" s="6"/>
      <c r="C15" s="6"/>
      <c r="D15" s="11"/>
      <c r="E15" s="12" t="str">
        <f aca="false">IF(A15="","",SUMIFS('Qualifier Log'!$F$4:$F$1000,'Qualifier Log'!$B$4:$B$1000,A15))</f>
        <v/>
      </c>
      <c r="F15" s="12" t="str">
        <f aca="false">IF(A15="","",E15)</f>
        <v/>
      </c>
      <c r="G15" s="6"/>
      <c r="H15" s="12" t="str">
        <f aca="false">IF(A15="","",IF(F15&gt;='Reference Tables'!$B$14,"Yes — issue Silver card","-"))</f>
        <v/>
      </c>
    </row>
    <row r="16" customFormat="false" ht="15" hidden="false" customHeight="false" outlineLevel="0" collapsed="false">
      <c r="A16" s="6"/>
      <c r="B16" s="6"/>
      <c r="C16" s="6"/>
      <c r="D16" s="11"/>
      <c r="E16" s="12" t="str">
        <f aca="false">IF(A16="","",SUMIFS('Qualifier Log'!$F$4:$F$1000,'Qualifier Log'!$B$4:$B$1000,A16))</f>
        <v/>
      </c>
      <c r="F16" s="12" t="str">
        <f aca="false">IF(A16="","",E16)</f>
        <v/>
      </c>
      <c r="G16" s="6"/>
      <c r="H16" s="12" t="str">
        <f aca="false">IF(A16="","",IF(F16&gt;='Reference Tables'!$B$14,"Yes — issue Silver card","-"))</f>
        <v/>
      </c>
    </row>
    <row r="17" customFormat="false" ht="15" hidden="false" customHeight="false" outlineLevel="0" collapsed="false">
      <c r="A17" s="6"/>
      <c r="B17" s="6"/>
      <c r="C17" s="6"/>
      <c r="D17" s="11"/>
      <c r="E17" s="12" t="str">
        <f aca="false">IF(A17="","",SUMIFS('Qualifier Log'!$F$4:$F$1000,'Qualifier Log'!$B$4:$B$1000,A17))</f>
        <v/>
      </c>
      <c r="F17" s="12" t="str">
        <f aca="false">IF(A17="","",E17)</f>
        <v/>
      </c>
      <c r="G17" s="6"/>
      <c r="H17" s="12" t="str">
        <f aca="false">IF(A17="","",IF(F17&gt;='Reference Tables'!$B$14,"Yes — issue Silver card","-"))</f>
        <v/>
      </c>
    </row>
    <row r="18" customFormat="false" ht="15" hidden="false" customHeight="false" outlineLevel="0" collapsed="false">
      <c r="A18" s="6"/>
      <c r="B18" s="6"/>
      <c r="C18" s="6"/>
      <c r="D18" s="11"/>
      <c r="E18" s="12" t="str">
        <f aca="false">IF(A18="","",SUMIFS('Qualifier Log'!$F$4:$F$1000,'Qualifier Log'!$B$4:$B$1000,A18))</f>
        <v/>
      </c>
      <c r="F18" s="12" t="str">
        <f aca="false">IF(A18="","",E18)</f>
        <v/>
      </c>
      <c r="G18" s="6"/>
      <c r="H18" s="12" t="str">
        <f aca="false">IF(A18="","",IF(F18&gt;='Reference Tables'!$B$14,"Yes — issue Silver card","-"))</f>
        <v/>
      </c>
    </row>
    <row r="19" customFormat="false" ht="15" hidden="false" customHeight="false" outlineLevel="0" collapsed="false">
      <c r="A19" s="6"/>
      <c r="B19" s="6"/>
      <c r="C19" s="6"/>
      <c r="D19" s="11"/>
      <c r="E19" s="12" t="str">
        <f aca="false">IF(A19="","",SUMIFS('Qualifier Log'!$F$4:$F$1000,'Qualifier Log'!$B$4:$B$1000,A19))</f>
        <v/>
      </c>
      <c r="F19" s="12" t="str">
        <f aca="false">IF(A19="","",E19)</f>
        <v/>
      </c>
      <c r="G19" s="6"/>
      <c r="H19" s="12" t="str">
        <f aca="false">IF(A19="","",IF(F19&gt;='Reference Tables'!$B$14,"Yes — issue Silver card","-"))</f>
        <v/>
      </c>
    </row>
    <row r="20" customFormat="false" ht="15" hidden="false" customHeight="false" outlineLevel="0" collapsed="false">
      <c r="A20" s="6"/>
      <c r="B20" s="6"/>
      <c r="C20" s="6"/>
      <c r="D20" s="11"/>
      <c r="E20" s="12" t="str">
        <f aca="false">IF(A20="","",SUMIFS('Qualifier Log'!$F$4:$F$1000,'Qualifier Log'!$B$4:$B$1000,A20))</f>
        <v/>
      </c>
      <c r="F20" s="12" t="str">
        <f aca="false">IF(A20="","",E20)</f>
        <v/>
      </c>
      <c r="G20" s="6"/>
      <c r="H20" s="12" t="str">
        <f aca="false">IF(A20="","",IF(F20&gt;='Reference Tables'!$B$14,"Yes — issue Silver card","-"))</f>
        <v/>
      </c>
    </row>
    <row r="21" customFormat="false" ht="15" hidden="false" customHeight="false" outlineLevel="0" collapsed="false">
      <c r="A21" s="6"/>
      <c r="B21" s="6"/>
      <c r="C21" s="6"/>
      <c r="D21" s="11"/>
      <c r="E21" s="12" t="str">
        <f aca="false">IF(A21="","",SUMIFS('Qualifier Log'!$F$4:$F$1000,'Qualifier Log'!$B$4:$B$1000,A21))</f>
        <v/>
      </c>
      <c r="F21" s="12" t="str">
        <f aca="false">IF(A21="","",E21)</f>
        <v/>
      </c>
      <c r="G21" s="6"/>
      <c r="H21" s="12" t="str">
        <f aca="false">IF(A21="","",IF(F21&gt;='Reference Tables'!$B$14,"Yes — issue Silver card","-"))</f>
        <v/>
      </c>
    </row>
    <row r="22" customFormat="false" ht="15" hidden="false" customHeight="false" outlineLevel="0" collapsed="false">
      <c r="A22" s="6"/>
      <c r="B22" s="6"/>
      <c r="C22" s="6"/>
      <c r="D22" s="11"/>
      <c r="E22" s="12" t="str">
        <f aca="false">IF(A22="","",SUMIFS('Qualifier Log'!$F$4:$F$1000,'Qualifier Log'!$B$4:$B$1000,A22))</f>
        <v/>
      </c>
      <c r="F22" s="12" t="str">
        <f aca="false">IF(A22="","",E22)</f>
        <v/>
      </c>
      <c r="G22" s="6"/>
      <c r="H22" s="12" t="str">
        <f aca="false">IF(A22="","",IF(F22&gt;='Reference Tables'!$B$14,"Yes — issue Silver card","-"))</f>
        <v/>
      </c>
    </row>
    <row r="23" customFormat="false" ht="15" hidden="false" customHeight="false" outlineLevel="0" collapsed="false">
      <c r="A23" s="6"/>
      <c r="B23" s="6"/>
      <c r="C23" s="6"/>
      <c r="D23" s="11"/>
      <c r="E23" s="12" t="str">
        <f aca="false">IF(A23="","",SUMIFS('Qualifier Log'!$F$4:$F$1000,'Qualifier Log'!$B$4:$B$1000,A23))</f>
        <v/>
      </c>
      <c r="F23" s="12" t="str">
        <f aca="false">IF(A23="","",E23)</f>
        <v/>
      </c>
      <c r="G23" s="6"/>
      <c r="H23" s="12" t="str">
        <f aca="false">IF(A23="","",IF(F23&gt;='Reference Tables'!$B$14,"Yes — issue Silver card","-"))</f>
        <v/>
      </c>
    </row>
    <row r="24" customFormat="false" ht="15" hidden="false" customHeight="false" outlineLevel="0" collapsed="false">
      <c r="A24" s="6"/>
      <c r="B24" s="6"/>
      <c r="C24" s="6"/>
      <c r="D24" s="11"/>
      <c r="E24" s="12" t="str">
        <f aca="false">IF(A24="","",SUMIFS('Qualifier Log'!$F$4:$F$1000,'Qualifier Log'!$B$4:$B$1000,A24))</f>
        <v/>
      </c>
      <c r="F24" s="12" t="str">
        <f aca="false">IF(A24="","",E24)</f>
        <v/>
      </c>
      <c r="G24" s="6"/>
      <c r="H24" s="12" t="str">
        <f aca="false">IF(A24="","",IF(F24&gt;='Reference Tables'!$B$14,"Yes — issue Silver card","-"))</f>
        <v/>
      </c>
    </row>
    <row r="25" customFormat="false" ht="15" hidden="false" customHeight="false" outlineLevel="0" collapsed="false">
      <c r="A25" s="6"/>
      <c r="B25" s="6"/>
      <c r="C25" s="6"/>
      <c r="D25" s="11"/>
      <c r="E25" s="12" t="str">
        <f aca="false">IF(A25="","",SUMIFS('Qualifier Log'!$F$4:$F$1000,'Qualifier Log'!$B$4:$B$1000,A25))</f>
        <v/>
      </c>
      <c r="F25" s="12" t="str">
        <f aca="false">IF(A25="","",E25)</f>
        <v/>
      </c>
      <c r="G25" s="6"/>
      <c r="H25" s="12" t="str">
        <f aca="false">IF(A25="","",IF(F25&gt;='Reference Tables'!$B$14,"Yes — issue Silver card","-"))</f>
        <v/>
      </c>
    </row>
    <row r="26" customFormat="false" ht="15" hidden="false" customHeight="false" outlineLevel="0" collapsed="false">
      <c r="A26" s="6"/>
      <c r="B26" s="6"/>
      <c r="C26" s="6"/>
      <c r="D26" s="11"/>
      <c r="E26" s="12" t="str">
        <f aca="false">IF(A26="","",SUMIFS('Qualifier Log'!$F$4:$F$1000,'Qualifier Log'!$B$4:$B$1000,A26))</f>
        <v/>
      </c>
      <c r="F26" s="12" t="str">
        <f aca="false">IF(A26="","",E26)</f>
        <v/>
      </c>
      <c r="G26" s="6"/>
      <c r="H26" s="12" t="str">
        <f aca="false">IF(A26="","",IF(F26&gt;='Reference Tables'!$B$14,"Yes — issue Silver card","-"))</f>
        <v/>
      </c>
    </row>
    <row r="27" customFormat="false" ht="15" hidden="false" customHeight="false" outlineLevel="0" collapsed="false">
      <c r="A27" s="6"/>
      <c r="B27" s="6"/>
      <c r="C27" s="6"/>
      <c r="D27" s="11"/>
      <c r="E27" s="12" t="str">
        <f aca="false">IF(A27="","",SUMIFS('Qualifier Log'!$F$4:$F$1000,'Qualifier Log'!$B$4:$B$1000,A27))</f>
        <v/>
      </c>
      <c r="F27" s="12" t="str">
        <f aca="false">IF(A27="","",E27)</f>
        <v/>
      </c>
      <c r="G27" s="6"/>
      <c r="H27" s="12" t="str">
        <f aca="false">IF(A27="","",IF(F27&gt;='Reference Tables'!$B$14,"Yes — issue Silver card","-"))</f>
        <v/>
      </c>
    </row>
    <row r="28" customFormat="false" ht="15" hidden="false" customHeight="false" outlineLevel="0" collapsed="false">
      <c r="A28" s="6"/>
      <c r="B28" s="6"/>
      <c r="C28" s="6"/>
      <c r="D28" s="11"/>
      <c r="E28" s="12" t="str">
        <f aca="false">IF(A28="","",SUMIFS('Qualifier Log'!$F$4:$F$1000,'Qualifier Log'!$B$4:$B$1000,A28))</f>
        <v/>
      </c>
      <c r="F28" s="12" t="str">
        <f aca="false">IF(A28="","",E28)</f>
        <v/>
      </c>
      <c r="G28" s="6"/>
      <c r="H28" s="12" t="str">
        <f aca="false">IF(A28="","",IF(F28&gt;='Reference Tables'!$B$14,"Yes — issue Silver card","-"))</f>
        <v/>
      </c>
    </row>
    <row r="29" customFormat="false" ht="15" hidden="false" customHeight="false" outlineLevel="0" collapsed="false">
      <c r="A29" s="6"/>
      <c r="B29" s="6"/>
      <c r="C29" s="6"/>
      <c r="D29" s="11"/>
      <c r="E29" s="12" t="str">
        <f aca="false">IF(A29="","",SUMIFS('Qualifier Log'!$F$4:$F$1000,'Qualifier Log'!$B$4:$B$1000,A29))</f>
        <v/>
      </c>
      <c r="F29" s="12" t="str">
        <f aca="false">IF(A29="","",E29)</f>
        <v/>
      </c>
      <c r="G29" s="6"/>
      <c r="H29" s="12" t="str">
        <f aca="false">IF(A29="","",IF(F29&gt;='Reference Tables'!$B$14,"Yes — issue Silver card","-"))</f>
        <v/>
      </c>
    </row>
    <row r="30" customFormat="false" ht="15" hidden="false" customHeight="false" outlineLevel="0" collapsed="false">
      <c r="A30" s="6"/>
      <c r="B30" s="6"/>
      <c r="C30" s="6"/>
      <c r="D30" s="11"/>
      <c r="E30" s="12" t="str">
        <f aca="false">IF(A30="","",SUMIFS('Qualifier Log'!$F$4:$F$1000,'Qualifier Log'!$B$4:$B$1000,A30))</f>
        <v/>
      </c>
      <c r="F30" s="12" t="str">
        <f aca="false">IF(A30="","",E30)</f>
        <v/>
      </c>
      <c r="G30" s="6"/>
      <c r="H30" s="12" t="str">
        <f aca="false">IF(A30="","",IF(F30&gt;='Reference Tables'!$B$14,"Yes — issue Silver card","-"))</f>
        <v/>
      </c>
    </row>
    <row r="31" customFormat="false" ht="15" hidden="false" customHeight="false" outlineLevel="0" collapsed="false">
      <c r="A31" s="6"/>
      <c r="B31" s="6"/>
      <c r="C31" s="6"/>
      <c r="D31" s="11"/>
      <c r="E31" s="12" t="str">
        <f aca="false">IF(A31="","",SUMIFS('Qualifier Log'!$F$4:$F$1000,'Qualifier Log'!$B$4:$B$1000,A31))</f>
        <v/>
      </c>
      <c r="F31" s="12" t="str">
        <f aca="false">IF(A31="","",E31)</f>
        <v/>
      </c>
      <c r="G31" s="6"/>
      <c r="H31" s="12" t="str">
        <f aca="false">IF(A31="","",IF(F31&gt;='Reference Tables'!$B$14,"Yes — issue Silver card","-"))</f>
        <v/>
      </c>
    </row>
    <row r="32" customFormat="false" ht="15" hidden="false" customHeight="false" outlineLevel="0" collapsed="false">
      <c r="A32" s="6"/>
      <c r="B32" s="6"/>
      <c r="C32" s="6"/>
      <c r="D32" s="11"/>
      <c r="E32" s="12" t="str">
        <f aca="false">IF(A32="","",SUMIFS('Qualifier Log'!$F$4:$F$1000,'Qualifier Log'!$B$4:$B$1000,A32))</f>
        <v/>
      </c>
      <c r="F32" s="12" t="str">
        <f aca="false">IF(A32="","",E32)</f>
        <v/>
      </c>
      <c r="G32" s="6"/>
      <c r="H32" s="12" t="str">
        <f aca="false">IF(A32="","",IF(F32&gt;='Reference Tables'!$B$14,"Yes — issue Silver card","-"))</f>
        <v/>
      </c>
    </row>
    <row r="33" customFormat="false" ht="15" hidden="false" customHeight="false" outlineLevel="0" collapsed="false">
      <c r="A33" s="6"/>
      <c r="B33" s="6"/>
      <c r="C33" s="6"/>
      <c r="D33" s="11"/>
      <c r="E33" s="12" t="str">
        <f aca="false">IF(A33="","",SUMIFS('Qualifier Log'!$F$4:$F$1000,'Qualifier Log'!$B$4:$B$1000,A33))</f>
        <v/>
      </c>
      <c r="F33" s="12" t="str">
        <f aca="false">IF(A33="","",E33)</f>
        <v/>
      </c>
      <c r="G33" s="6"/>
      <c r="H33" s="12" t="str">
        <f aca="false">IF(A33="","",IF(F33&gt;='Reference Tables'!$B$14,"Yes — issue Silver card","-"))</f>
        <v/>
      </c>
    </row>
    <row r="34" customFormat="false" ht="15" hidden="false" customHeight="false" outlineLevel="0" collapsed="false">
      <c r="A34" s="6"/>
      <c r="B34" s="6"/>
      <c r="C34" s="6"/>
      <c r="D34" s="11"/>
      <c r="E34" s="12" t="str">
        <f aca="false">IF(A34="","",SUMIFS('Qualifier Log'!$F$4:$F$1000,'Qualifier Log'!$B$4:$B$1000,A34))</f>
        <v/>
      </c>
      <c r="F34" s="12" t="str">
        <f aca="false">IF(A34="","",E34)</f>
        <v/>
      </c>
      <c r="G34" s="6"/>
      <c r="H34" s="12" t="str">
        <f aca="false">IF(A34="","",IF(F34&gt;='Reference Tables'!$B$14,"Yes — issue Silver card","-"))</f>
        <v/>
      </c>
    </row>
    <row r="35" customFormat="false" ht="15" hidden="false" customHeight="false" outlineLevel="0" collapsed="false">
      <c r="A35" s="6"/>
      <c r="B35" s="6"/>
      <c r="C35" s="6"/>
      <c r="D35" s="11"/>
      <c r="E35" s="12" t="str">
        <f aca="false">IF(A35="","",SUMIFS('Qualifier Log'!$F$4:$F$1000,'Qualifier Log'!$B$4:$B$1000,A35))</f>
        <v/>
      </c>
      <c r="F35" s="12" t="str">
        <f aca="false">IF(A35="","",E35)</f>
        <v/>
      </c>
      <c r="G35" s="6"/>
      <c r="H35" s="12" t="str">
        <f aca="false">IF(A35="","",IF(F35&gt;='Reference Tables'!$B$14,"Yes — issue Silver card","-"))</f>
        <v/>
      </c>
    </row>
    <row r="36" customFormat="false" ht="15" hidden="false" customHeight="false" outlineLevel="0" collapsed="false">
      <c r="A36" s="6"/>
      <c r="B36" s="6"/>
      <c r="C36" s="6"/>
      <c r="D36" s="11"/>
      <c r="E36" s="12" t="str">
        <f aca="false">IF(A36="","",SUMIFS('Qualifier Log'!$F$4:$F$1000,'Qualifier Log'!$B$4:$B$1000,A36))</f>
        <v/>
      </c>
      <c r="F36" s="12" t="str">
        <f aca="false">IF(A36="","",E36)</f>
        <v/>
      </c>
      <c r="G36" s="6"/>
      <c r="H36" s="12" t="str">
        <f aca="false">IF(A36="","",IF(F36&gt;='Reference Tables'!$B$14,"Yes — issue Silver card","-"))</f>
        <v/>
      </c>
    </row>
    <row r="37" customFormat="false" ht="15" hidden="false" customHeight="false" outlineLevel="0" collapsed="false">
      <c r="A37" s="6"/>
      <c r="B37" s="6"/>
      <c r="C37" s="6"/>
      <c r="D37" s="11"/>
      <c r="E37" s="12" t="str">
        <f aca="false">IF(A37="","",SUMIFS('Qualifier Log'!$F$4:$F$1000,'Qualifier Log'!$B$4:$B$1000,A37))</f>
        <v/>
      </c>
      <c r="F37" s="12" t="str">
        <f aca="false">IF(A37="","",E37)</f>
        <v/>
      </c>
      <c r="G37" s="6"/>
      <c r="H37" s="12" t="str">
        <f aca="false">IF(A37="","",IF(F37&gt;='Reference Tables'!$B$14,"Yes — issue Silver card","-"))</f>
        <v/>
      </c>
    </row>
    <row r="38" customFormat="false" ht="15" hidden="false" customHeight="false" outlineLevel="0" collapsed="false">
      <c r="A38" s="6"/>
      <c r="B38" s="6"/>
      <c r="C38" s="6"/>
      <c r="D38" s="11"/>
      <c r="E38" s="12" t="str">
        <f aca="false">IF(A38="","",SUMIFS('Qualifier Log'!$F$4:$F$1000,'Qualifier Log'!$B$4:$B$1000,A38))</f>
        <v/>
      </c>
      <c r="F38" s="12" t="str">
        <f aca="false">IF(A38="","",E38)</f>
        <v/>
      </c>
      <c r="G38" s="6"/>
      <c r="H38" s="12" t="str">
        <f aca="false">IF(A38="","",IF(F38&gt;='Reference Tables'!$B$14,"Yes — issue Silver card","-"))</f>
        <v/>
      </c>
    </row>
    <row r="39" customFormat="false" ht="15" hidden="false" customHeight="false" outlineLevel="0" collapsed="false">
      <c r="A39" s="6"/>
      <c r="B39" s="6"/>
      <c r="C39" s="6"/>
      <c r="D39" s="11"/>
      <c r="E39" s="12" t="str">
        <f aca="false">IF(A39="","",SUMIFS('Qualifier Log'!$F$4:$F$1000,'Qualifier Log'!$B$4:$B$1000,A39))</f>
        <v/>
      </c>
      <c r="F39" s="12" t="str">
        <f aca="false">IF(A39="","",E39)</f>
        <v/>
      </c>
      <c r="G39" s="6"/>
      <c r="H39" s="12" t="str">
        <f aca="false">IF(A39="","",IF(F39&gt;='Reference Tables'!$B$14,"Yes — issue Silver card","-"))</f>
        <v/>
      </c>
    </row>
    <row r="40" customFormat="false" ht="15" hidden="false" customHeight="false" outlineLevel="0" collapsed="false">
      <c r="A40" s="6"/>
      <c r="B40" s="6"/>
      <c r="C40" s="6"/>
      <c r="D40" s="11"/>
      <c r="E40" s="12" t="str">
        <f aca="false">IF(A40="","",SUMIFS('Qualifier Log'!$F$4:$F$1000,'Qualifier Log'!$B$4:$B$1000,A40))</f>
        <v/>
      </c>
      <c r="F40" s="12" t="str">
        <f aca="false">IF(A40="","",E40)</f>
        <v/>
      </c>
      <c r="G40" s="6"/>
      <c r="H40" s="12" t="str">
        <f aca="false">IF(A40="","",IF(F40&gt;='Reference Tables'!$B$14,"Yes — issue Silver card","-"))</f>
        <v/>
      </c>
    </row>
    <row r="41" customFormat="false" ht="15" hidden="false" customHeight="false" outlineLevel="0" collapsed="false">
      <c r="A41" s="6"/>
      <c r="B41" s="6"/>
      <c r="C41" s="6"/>
      <c r="D41" s="11"/>
      <c r="E41" s="12" t="str">
        <f aca="false">IF(A41="","",SUMIFS('Qualifier Log'!$F$4:$F$1000,'Qualifier Log'!$B$4:$B$1000,A41))</f>
        <v/>
      </c>
      <c r="F41" s="12" t="str">
        <f aca="false">IF(A41="","",E41)</f>
        <v/>
      </c>
      <c r="G41" s="6"/>
      <c r="H41" s="12" t="str">
        <f aca="false">IF(A41="","",IF(F41&gt;='Reference Tables'!$B$14,"Yes — issue Silver card","-"))</f>
        <v/>
      </c>
    </row>
    <row r="42" customFormat="false" ht="15" hidden="false" customHeight="false" outlineLevel="0" collapsed="false">
      <c r="A42" s="6"/>
      <c r="B42" s="6"/>
      <c r="C42" s="6"/>
      <c r="D42" s="11"/>
      <c r="E42" s="12" t="str">
        <f aca="false">IF(A42="","",SUMIFS('Qualifier Log'!$F$4:$F$1000,'Qualifier Log'!$B$4:$B$1000,A42))</f>
        <v/>
      </c>
      <c r="F42" s="12" t="str">
        <f aca="false">IF(A42="","",E42)</f>
        <v/>
      </c>
      <c r="G42" s="6"/>
      <c r="H42" s="12" t="str">
        <f aca="false">IF(A42="","",IF(F42&gt;='Reference Tables'!$B$14,"Yes — issue Silver card","-"))</f>
        <v/>
      </c>
    </row>
    <row r="43" customFormat="false" ht="15" hidden="false" customHeight="false" outlineLevel="0" collapsed="false">
      <c r="A43" s="6"/>
      <c r="B43" s="6"/>
      <c r="C43" s="6"/>
      <c r="D43" s="11"/>
      <c r="E43" s="12" t="str">
        <f aca="false">IF(A43="","",SUMIFS('Qualifier Log'!$F$4:$F$1000,'Qualifier Log'!$B$4:$B$1000,A43))</f>
        <v/>
      </c>
      <c r="F43" s="12" t="str">
        <f aca="false">IF(A43="","",E43)</f>
        <v/>
      </c>
      <c r="G43" s="6"/>
      <c r="H43" s="12" t="str">
        <f aca="false">IF(A43="","",IF(F43&gt;='Reference Tables'!$B$14,"Yes — issue Silver card","-"))</f>
        <v/>
      </c>
    </row>
    <row r="44" customFormat="false" ht="15" hidden="false" customHeight="false" outlineLevel="0" collapsed="false">
      <c r="A44" s="6"/>
      <c r="B44" s="6"/>
      <c r="C44" s="6"/>
      <c r="D44" s="11"/>
      <c r="E44" s="12" t="str">
        <f aca="false">IF(A44="","",SUMIFS('Qualifier Log'!$F$4:$F$1000,'Qualifier Log'!$B$4:$B$1000,A44))</f>
        <v/>
      </c>
      <c r="F44" s="12" t="str">
        <f aca="false">IF(A44="","",E44)</f>
        <v/>
      </c>
      <c r="G44" s="6"/>
      <c r="H44" s="12" t="str">
        <f aca="false">IF(A44="","",IF(F44&gt;='Reference Tables'!$B$14,"Yes — issue Silver card","-"))</f>
        <v/>
      </c>
    </row>
    <row r="45" customFormat="false" ht="15" hidden="false" customHeight="false" outlineLevel="0" collapsed="false">
      <c r="A45" s="6"/>
      <c r="B45" s="6"/>
      <c r="C45" s="6"/>
      <c r="D45" s="11"/>
      <c r="E45" s="12" t="str">
        <f aca="false">IF(A45="","",SUMIFS('Qualifier Log'!$F$4:$F$1000,'Qualifier Log'!$B$4:$B$1000,A45))</f>
        <v/>
      </c>
      <c r="F45" s="12" t="str">
        <f aca="false">IF(A45="","",E45)</f>
        <v/>
      </c>
      <c r="G45" s="6"/>
      <c r="H45" s="12" t="str">
        <f aca="false">IF(A45="","",IF(F45&gt;='Reference Tables'!$B$14,"Yes — issue Silver card","-"))</f>
        <v/>
      </c>
    </row>
    <row r="46" customFormat="false" ht="15" hidden="false" customHeight="false" outlineLevel="0" collapsed="false">
      <c r="A46" s="6"/>
      <c r="B46" s="6"/>
      <c r="C46" s="6"/>
      <c r="D46" s="11"/>
      <c r="E46" s="12" t="str">
        <f aca="false">IF(A46="","",SUMIFS('Qualifier Log'!$F$4:$F$1000,'Qualifier Log'!$B$4:$B$1000,A46))</f>
        <v/>
      </c>
      <c r="F46" s="12" t="str">
        <f aca="false">IF(A46="","",E46)</f>
        <v/>
      </c>
      <c r="G46" s="6"/>
      <c r="H46" s="12" t="str">
        <f aca="false">IF(A46="","",IF(F46&gt;='Reference Tables'!$B$14,"Yes — issue Silver card","-"))</f>
        <v/>
      </c>
    </row>
    <row r="47" customFormat="false" ht="15" hidden="false" customHeight="false" outlineLevel="0" collapsed="false">
      <c r="A47" s="6"/>
      <c r="B47" s="6"/>
      <c r="C47" s="6"/>
      <c r="D47" s="11"/>
      <c r="E47" s="12" t="str">
        <f aca="false">IF(A47="","",SUMIFS('Qualifier Log'!$F$4:$F$1000,'Qualifier Log'!$B$4:$B$1000,A47))</f>
        <v/>
      </c>
      <c r="F47" s="12" t="str">
        <f aca="false">IF(A47="","",E47)</f>
        <v/>
      </c>
      <c r="G47" s="6"/>
      <c r="H47" s="12" t="str">
        <f aca="false">IF(A47="","",IF(F47&gt;='Reference Tables'!$B$14,"Yes — issue Silver card","-"))</f>
        <v/>
      </c>
    </row>
    <row r="48" customFormat="false" ht="15" hidden="false" customHeight="false" outlineLevel="0" collapsed="false">
      <c r="A48" s="6"/>
      <c r="B48" s="6"/>
      <c r="C48" s="6"/>
      <c r="D48" s="11"/>
      <c r="E48" s="12" t="str">
        <f aca="false">IF(A48="","",SUMIFS('Qualifier Log'!$F$4:$F$1000,'Qualifier Log'!$B$4:$B$1000,A48))</f>
        <v/>
      </c>
      <c r="F48" s="12" t="str">
        <f aca="false">IF(A48="","",E48)</f>
        <v/>
      </c>
      <c r="G48" s="6"/>
      <c r="H48" s="12" t="str">
        <f aca="false">IF(A48="","",IF(F48&gt;='Reference Tables'!$B$14,"Yes — issue Silver card","-"))</f>
        <v/>
      </c>
    </row>
    <row r="49" customFormat="false" ht="15" hidden="false" customHeight="false" outlineLevel="0" collapsed="false">
      <c r="A49" s="6"/>
      <c r="B49" s="6"/>
      <c r="C49" s="6"/>
      <c r="D49" s="11"/>
      <c r="E49" s="12" t="str">
        <f aca="false">IF(A49="","",SUMIFS('Qualifier Log'!$F$4:$F$1000,'Qualifier Log'!$B$4:$B$1000,A49))</f>
        <v/>
      </c>
      <c r="F49" s="12" t="str">
        <f aca="false">IF(A49="","",E49)</f>
        <v/>
      </c>
      <c r="G49" s="6"/>
      <c r="H49" s="12" t="str">
        <f aca="false">IF(A49="","",IF(F49&gt;='Reference Tables'!$B$14,"Yes — issue Silver card","-"))</f>
        <v/>
      </c>
    </row>
    <row r="50" customFormat="false" ht="15" hidden="false" customHeight="false" outlineLevel="0" collapsed="false">
      <c r="A50" s="6"/>
      <c r="B50" s="6"/>
      <c r="C50" s="6"/>
      <c r="D50" s="11"/>
      <c r="E50" s="12" t="str">
        <f aca="false">IF(A50="","",SUMIFS('Qualifier Log'!$F$4:$F$1000,'Qualifier Log'!$B$4:$B$1000,A50))</f>
        <v/>
      </c>
      <c r="F50" s="12" t="str">
        <f aca="false">IF(A50="","",E50)</f>
        <v/>
      </c>
      <c r="G50" s="6"/>
      <c r="H50" s="12" t="str">
        <f aca="false">IF(A50="","",IF(F50&gt;='Reference Tables'!$B$14,"Yes — issue Silver card","-"))</f>
        <v/>
      </c>
    </row>
    <row r="51" customFormat="false" ht="15" hidden="false" customHeight="false" outlineLevel="0" collapsed="false">
      <c r="A51" s="6"/>
      <c r="B51" s="6"/>
      <c r="C51" s="6"/>
      <c r="D51" s="11"/>
      <c r="E51" s="12" t="str">
        <f aca="false">IF(A51="","",SUMIFS('Qualifier Log'!$F$4:$F$1000,'Qualifier Log'!$B$4:$B$1000,A51))</f>
        <v/>
      </c>
      <c r="F51" s="12" t="str">
        <f aca="false">IF(A51="","",E51)</f>
        <v/>
      </c>
      <c r="G51" s="6"/>
      <c r="H51" s="12" t="str">
        <f aca="false">IF(A51="","",IF(F51&gt;='Reference Tables'!$B$14,"Yes — issue Silver card","-"))</f>
        <v/>
      </c>
    </row>
    <row r="52" customFormat="false" ht="15" hidden="false" customHeight="false" outlineLevel="0" collapsed="false">
      <c r="A52" s="6"/>
      <c r="B52" s="6"/>
      <c r="C52" s="6"/>
      <c r="D52" s="11"/>
      <c r="E52" s="12" t="str">
        <f aca="false">IF(A52="","",SUMIFS('Qualifier Log'!$F$4:$F$1000,'Qualifier Log'!$B$4:$B$1000,A52))</f>
        <v/>
      </c>
      <c r="F52" s="12" t="str">
        <f aca="false">IF(A52="","",E52)</f>
        <v/>
      </c>
      <c r="G52" s="6"/>
      <c r="H52" s="12" t="str">
        <f aca="false">IF(A52="","",IF(F52&gt;='Reference Tables'!$B$14,"Yes — issue Silver card","-"))</f>
        <v/>
      </c>
    </row>
    <row r="53" customFormat="false" ht="15" hidden="false" customHeight="false" outlineLevel="0" collapsed="false">
      <c r="A53" s="6"/>
      <c r="B53" s="6"/>
      <c r="C53" s="6"/>
      <c r="D53" s="11"/>
      <c r="E53" s="12" t="str">
        <f aca="false">IF(A53="","",SUMIFS('Qualifier Log'!$F$4:$F$1000,'Qualifier Log'!$B$4:$B$1000,A53))</f>
        <v/>
      </c>
      <c r="F53" s="12" t="str">
        <f aca="false">IF(A53="","",E53)</f>
        <v/>
      </c>
      <c r="G53" s="6"/>
      <c r="H53" s="12" t="str">
        <f aca="false">IF(A53="","",IF(F53&gt;='Reference Tables'!$B$14,"Yes — issue Silver card","-"))</f>
        <v/>
      </c>
    </row>
    <row r="54" customFormat="false" ht="15" hidden="false" customHeight="false" outlineLevel="0" collapsed="false">
      <c r="A54" s="6"/>
      <c r="B54" s="6"/>
      <c r="C54" s="6"/>
      <c r="D54" s="11"/>
      <c r="E54" s="12" t="str">
        <f aca="false">IF(A54="","",SUMIFS('Qualifier Log'!$F$4:$F$1000,'Qualifier Log'!$B$4:$B$1000,A54))</f>
        <v/>
      </c>
      <c r="F54" s="12" t="str">
        <f aca="false">IF(A54="","",E54)</f>
        <v/>
      </c>
      <c r="G54" s="6"/>
      <c r="H54" s="12" t="str">
        <f aca="false">IF(A54="","",IF(F54&gt;='Reference Tables'!$B$14,"Yes — issue Silver card","-"))</f>
        <v/>
      </c>
    </row>
    <row r="55" customFormat="false" ht="15" hidden="false" customHeight="false" outlineLevel="0" collapsed="false">
      <c r="A55" s="6"/>
      <c r="B55" s="6"/>
      <c r="C55" s="6"/>
      <c r="D55" s="11"/>
      <c r="E55" s="12" t="str">
        <f aca="false">IF(A55="","",SUMIFS('Qualifier Log'!$F$4:$F$1000,'Qualifier Log'!$B$4:$B$1000,A55))</f>
        <v/>
      </c>
      <c r="F55" s="12" t="str">
        <f aca="false">IF(A55="","",E55)</f>
        <v/>
      </c>
      <c r="G55" s="6"/>
      <c r="H55" s="12" t="str">
        <f aca="false">IF(A55="","",IF(F55&gt;='Reference Tables'!$B$14,"Yes — issue Silver card","-"))</f>
        <v/>
      </c>
    </row>
    <row r="56" customFormat="false" ht="15" hidden="false" customHeight="false" outlineLevel="0" collapsed="false">
      <c r="A56" s="6"/>
      <c r="B56" s="6"/>
      <c r="C56" s="6"/>
      <c r="D56" s="11"/>
      <c r="E56" s="12" t="str">
        <f aca="false">IF(A56="","",SUMIFS('Qualifier Log'!$F$4:$F$1000,'Qualifier Log'!$B$4:$B$1000,A56))</f>
        <v/>
      </c>
      <c r="F56" s="12" t="str">
        <f aca="false">IF(A56="","",E56)</f>
        <v/>
      </c>
      <c r="G56" s="6"/>
      <c r="H56" s="12" t="str">
        <f aca="false">IF(A56="","",IF(F56&gt;='Reference Tables'!$B$14,"Yes — issue Silver card","-"))</f>
        <v/>
      </c>
    </row>
    <row r="57" customFormat="false" ht="15" hidden="false" customHeight="false" outlineLevel="0" collapsed="false">
      <c r="A57" s="6"/>
      <c r="B57" s="6"/>
      <c r="C57" s="6"/>
      <c r="D57" s="11"/>
      <c r="E57" s="12" t="str">
        <f aca="false">IF(A57="","",SUMIFS('Qualifier Log'!$F$4:$F$1000,'Qualifier Log'!$B$4:$B$1000,A57))</f>
        <v/>
      </c>
      <c r="F57" s="12" t="str">
        <f aca="false">IF(A57="","",E57)</f>
        <v/>
      </c>
      <c r="G57" s="6"/>
      <c r="H57" s="12" t="str">
        <f aca="false">IF(A57="","",IF(F57&gt;='Reference Tables'!$B$14,"Yes — issue Silver card","-"))</f>
        <v/>
      </c>
    </row>
    <row r="58" customFormat="false" ht="15" hidden="false" customHeight="false" outlineLevel="0" collapsed="false">
      <c r="A58" s="6"/>
      <c r="B58" s="6"/>
      <c r="C58" s="6"/>
      <c r="D58" s="11"/>
      <c r="E58" s="12" t="str">
        <f aca="false">IF(A58="","",SUMIFS('Qualifier Log'!$F$4:$F$1000,'Qualifier Log'!$B$4:$B$1000,A58))</f>
        <v/>
      </c>
      <c r="F58" s="12" t="str">
        <f aca="false">IF(A58="","",E58)</f>
        <v/>
      </c>
      <c r="G58" s="6"/>
      <c r="H58" s="12" t="str">
        <f aca="false">IF(A58="","",IF(F58&gt;='Reference Tables'!$B$14,"Yes — issue Silver card","-"))</f>
        <v/>
      </c>
    </row>
    <row r="59" customFormat="false" ht="15" hidden="false" customHeight="false" outlineLevel="0" collapsed="false">
      <c r="A59" s="6"/>
      <c r="B59" s="6"/>
      <c r="C59" s="6"/>
      <c r="D59" s="11"/>
      <c r="E59" s="12" t="str">
        <f aca="false">IF(A59="","",SUMIFS('Qualifier Log'!$F$4:$F$1000,'Qualifier Log'!$B$4:$B$1000,A59))</f>
        <v/>
      </c>
      <c r="F59" s="12" t="str">
        <f aca="false">IF(A59="","",E59)</f>
        <v/>
      </c>
      <c r="G59" s="6"/>
      <c r="H59" s="12" t="str">
        <f aca="false">IF(A59="","",IF(F59&gt;='Reference Tables'!$B$14,"Yes — issue Silver card","-"))</f>
        <v/>
      </c>
    </row>
    <row r="60" customFormat="false" ht="15" hidden="false" customHeight="false" outlineLevel="0" collapsed="false">
      <c r="A60" s="6"/>
      <c r="B60" s="6"/>
      <c r="C60" s="6"/>
      <c r="D60" s="11"/>
      <c r="E60" s="12" t="str">
        <f aca="false">IF(A60="","",SUMIFS('Qualifier Log'!$F$4:$F$1000,'Qualifier Log'!$B$4:$B$1000,A60))</f>
        <v/>
      </c>
      <c r="F60" s="12" t="str">
        <f aca="false">IF(A60="","",E60)</f>
        <v/>
      </c>
      <c r="G60" s="6"/>
      <c r="H60" s="12" t="str">
        <f aca="false">IF(A60="","",IF(F60&gt;='Reference Tables'!$B$14,"Yes — issue Silver card","-"))</f>
        <v/>
      </c>
    </row>
    <row r="61" customFormat="false" ht="15" hidden="false" customHeight="false" outlineLevel="0" collapsed="false">
      <c r="A61" s="6"/>
      <c r="B61" s="6"/>
      <c r="C61" s="6"/>
      <c r="D61" s="11"/>
      <c r="E61" s="12" t="str">
        <f aca="false">IF(A61="","",SUMIFS('Qualifier Log'!$F$4:$F$1000,'Qualifier Log'!$B$4:$B$1000,A61))</f>
        <v/>
      </c>
      <c r="F61" s="12" t="str">
        <f aca="false">IF(A61="","",E61)</f>
        <v/>
      </c>
      <c r="G61" s="6"/>
      <c r="H61" s="12" t="str">
        <f aca="false">IF(A61="","",IF(F61&gt;='Reference Tables'!$B$14,"Yes — issue Silver card","-"))</f>
        <v/>
      </c>
    </row>
    <row r="62" customFormat="false" ht="15" hidden="false" customHeight="false" outlineLevel="0" collapsed="false">
      <c r="A62" s="6"/>
      <c r="B62" s="6"/>
      <c r="C62" s="6"/>
      <c r="D62" s="11"/>
      <c r="E62" s="12" t="str">
        <f aca="false">IF(A62="","",SUMIFS('Qualifier Log'!$F$4:$F$1000,'Qualifier Log'!$B$4:$B$1000,A62))</f>
        <v/>
      </c>
      <c r="F62" s="12" t="str">
        <f aca="false">IF(A62="","",E62)</f>
        <v/>
      </c>
      <c r="G62" s="6"/>
      <c r="H62" s="12" t="str">
        <f aca="false">IF(A62="","",IF(F62&gt;='Reference Tables'!$B$14,"Yes — issue Silver card","-"))</f>
        <v/>
      </c>
    </row>
    <row r="63" customFormat="false" ht="15" hidden="false" customHeight="false" outlineLevel="0" collapsed="false">
      <c r="A63" s="6"/>
      <c r="B63" s="6"/>
      <c r="C63" s="6"/>
      <c r="D63" s="11"/>
      <c r="E63" s="12" t="str">
        <f aca="false">IF(A63="","",SUMIFS('Qualifier Log'!$F$4:$F$1000,'Qualifier Log'!$B$4:$B$1000,A63))</f>
        <v/>
      </c>
      <c r="F63" s="12" t="str">
        <f aca="false">IF(A63="","",E63)</f>
        <v/>
      </c>
      <c r="G63" s="6"/>
      <c r="H63" s="12" t="str">
        <f aca="false">IF(A63="","",IF(F63&gt;='Reference Tables'!$B$14,"Yes — issue Silver card","-"))</f>
        <v/>
      </c>
    </row>
    <row r="64" customFormat="false" ht="15" hidden="false" customHeight="false" outlineLevel="0" collapsed="false">
      <c r="A64" s="6"/>
      <c r="B64" s="6"/>
      <c r="C64" s="6"/>
      <c r="D64" s="11"/>
      <c r="E64" s="12" t="str">
        <f aca="false">IF(A64="","",SUMIFS('Qualifier Log'!$F$4:$F$1000,'Qualifier Log'!$B$4:$B$1000,A64))</f>
        <v/>
      </c>
      <c r="F64" s="12" t="str">
        <f aca="false">IF(A64="","",E64)</f>
        <v/>
      </c>
      <c r="G64" s="6"/>
      <c r="H64" s="12" t="str">
        <f aca="false">IF(A64="","",IF(F64&gt;='Reference Tables'!$B$14,"Yes — issue Silver card","-"))</f>
        <v/>
      </c>
    </row>
    <row r="65" customFormat="false" ht="15" hidden="false" customHeight="false" outlineLevel="0" collapsed="false">
      <c r="A65" s="6"/>
      <c r="B65" s="6"/>
      <c r="C65" s="6"/>
      <c r="D65" s="11"/>
      <c r="E65" s="12" t="str">
        <f aca="false">IF(A65="","",SUMIFS('Qualifier Log'!$F$4:$F$1000,'Qualifier Log'!$B$4:$B$1000,A65))</f>
        <v/>
      </c>
      <c r="F65" s="12" t="str">
        <f aca="false">IF(A65="","",E65)</f>
        <v/>
      </c>
      <c r="G65" s="6"/>
      <c r="H65" s="12" t="str">
        <f aca="false">IF(A65="","",IF(F65&gt;='Reference Tables'!$B$14,"Yes — issue Silver card","-"))</f>
        <v/>
      </c>
    </row>
    <row r="66" customFormat="false" ht="15" hidden="false" customHeight="false" outlineLevel="0" collapsed="false">
      <c r="A66" s="6"/>
      <c r="B66" s="6"/>
      <c r="C66" s="6"/>
      <c r="D66" s="11"/>
      <c r="E66" s="12" t="str">
        <f aca="false">IF(A66="","",SUMIFS('Qualifier Log'!$F$4:$F$1000,'Qualifier Log'!$B$4:$B$1000,A66))</f>
        <v/>
      </c>
      <c r="F66" s="12" t="str">
        <f aca="false">IF(A66="","",E66)</f>
        <v/>
      </c>
      <c r="G66" s="6"/>
      <c r="H66" s="12" t="str">
        <f aca="false">IF(A66="","",IF(F66&gt;='Reference Tables'!$B$14,"Yes — issue Silver card","-"))</f>
        <v/>
      </c>
    </row>
    <row r="67" customFormat="false" ht="15" hidden="false" customHeight="false" outlineLevel="0" collapsed="false">
      <c r="A67" s="6"/>
      <c r="B67" s="6"/>
      <c r="C67" s="6"/>
      <c r="D67" s="11"/>
      <c r="E67" s="12" t="str">
        <f aca="false">IF(A67="","",SUMIFS('Qualifier Log'!$F$4:$F$1000,'Qualifier Log'!$B$4:$B$1000,A67))</f>
        <v/>
      </c>
      <c r="F67" s="12" t="str">
        <f aca="false">IF(A67="","",E67)</f>
        <v/>
      </c>
      <c r="G67" s="6"/>
      <c r="H67" s="12" t="str">
        <f aca="false">IF(A67="","",IF(F67&gt;='Reference Tables'!$B$14,"Yes — issue Silver card","-"))</f>
        <v/>
      </c>
    </row>
    <row r="68" customFormat="false" ht="15" hidden="false" customHeight="false" outlineLevel="0" collapsed="false">
      <c r="A68" s="6"/>
      <c r="B68" s="6"/>
      <c r="C68" s="6"/>
      <c r="D68" s="11"/>
      <c r="E68" s="12" t="str">
        <f aca="false">IF(A68="","",SUMIFS('Qualifier Log'!$F$4:$F$1000,'Qualifier Log'!$B$4:$B$1000,A68))</f>
        <v/>
      </c>
      <c r="F68" s="12" t="str">
        <f aca="false">IF(A68="","",E68)</f>
        <v/>
      </c>
      <c r="G68" s="6"/>
      <c r="H68" s="12" t="str">
        <f aca="false">IF(A68="","",IF(F68&gt;='Reference Tables'!$B$14,"Yes — issue Silver card","-"))</f>
        <v/>
      </c>
    </row>
    <row r="69" customFormat="false" ht="15" hidden="false" customHeight="false" outlineLevel="0" collapsed="false">
      <c r="A69" s="6"/>
      <c r="B69" s="6"/>
      <c r="C69" s="6"/>
      <c r="D69" s="11"/>
      <c r="E69" s="12" t="str">
        <f aca="false">IF(A69="","",SUMIFS('Qualifier Log'!$F$4:$F$1000,'Qualifier Log'!$B$4:$B$1000,A69))</f>
        <v/>
      </c>
      <c r="F69" s="12" t="str">
        <f aca="false">IF(A69="","",E69)</f>
        <v/>
      </c>
      <c r="G69" s="6"/>
      <c r="H69" s="12" t="str">
        <f aca="false">IF(A69="","",IF(F69&gt;='Reference Tables'!$B$14,"Yes — issue Silver card","-"))</f>
        <v/>
      </c>
    </row>
    <row r="70" customFormat="false" ht="15" hidden="false" customHeight="false" outlineLevel="0" collapsed="false">
      <c r="A70" s="6"/>
      <c r="B70" s="6"/>
      <c r="C70" s="6"/>
      <c r="D70" s="11"/>
      <c r="E70" s="12" t="str">
        <f aca="false">IF(A70="","",SUMIFS('Qualifier Log'!$F$4:$F$1000,'Qualifier Log'!$B$4:$B$1000,A70))</f>
        <v/>
      </c>
      <c r="F70" s="12" t="str">
        <f aca="false">IF(A70="","",E70)</f>
        <v/>
      </c>
      <c r="G70" s="6"/>
      <c r="H70" s="12" t="str">
        <f aca="false">IF(A70="","",IF(F70&gt;='Reference Tables'!$B$14,"Yes — issue Silver card","-"))</f>
        <v/>
      </c>
    </row>
    <row r="71" customFormat="false" ht="15" hidden="false" customHeight="false" outlineLevel="0" collapsed="false">
      <c r="A71" s="6"/>
      <c r="B71" s="6"/>
      <c r="C71" s="6"/>
      <c r="D71" s="11"/>
      <c r="E71" s="12" t="str">
        <f aca="false">IF(A71="","",SUMIFS('Qualifier Log'!$F$4:$F$1000,'Qualifier Log'!$B$4:$B$1000,A71))</f>
        <v/>
      </c>
      <c r="F71" s="12" t="str">
        <f aca="false">IF(A71="","",E71)</f>
        <v/>
      </c>
      <c r="G71" s="6"/>
      <c r="H71" s="12" t="str">
        <f aca="false">IF(A71="","",IF(F71&gt;='Reference Tables'!$B$14,"Yes — issue Silver card","-"))</f>
        <v/>
      </c>
    </row>
    <row r="72" customFormat="false" ht="15" hidden="false" customHeight="false" outlineLevel="0" collapsed="false">
      <c r="A72" s="6"/>
      <c r="B72" s="6"/>
      <c r="C72" s="6"/>
      <c r="D72" s="11"/>
      <c r="E72" s="12" t="str">
        <f aca="false">IF(A72="","",SUMIFS('Qualifier Log'!$F$4:$F$1000,'Qualifier Log'!$B$4:$B$1000,A72))</f>
        <v/>
      </c>
      <c r="F72" s="12" t="str">
        <f aca="false">IF(A72="","",E72)</f>
        <v/>
      </c>
      <c r="G72" s="6"/>
      <c r="H72" s="12" t="str">
        <f aca="false">IF(A72="","",IF(F72&gt;='Reference Tables'!$B$14,"Yes — issue Silver card","-"))</f>
        <v/>
      </c>
    </row>
    <row r="73" customFormat="false" ht="15" hidden="false" customHeight="false" outlineLevel="0" collapsed="false">
      <c r="A73" s="6"/>
      <c r="B73" s="6"/>
      <c r="C73" s="6"/>
      <c r="D73" s="11"/>
      <c r="E73" s="12" t="str">
        <f aca="false">IF(A73="","",SUMIFS('Qualifier Log'!$F$4:$F$1000,'Qualifier Log'!$B$4:$B$1000,A73))</f>
        <v/>
      </c>
      <c r="F73" s="12" t="str">
        <f aca="false">IF(A73="","",E73)</f>
        <v/>
      </c>
      <c r="G73" s="6"/>
      <c r="H73" s="12" t="str">
        <f aca="false">IF(A73="","",IF(F73&gt;='Reference Tables'!$B$14,"Yes — issue Silver card","-"))</f>
        <v/>
      </c>
    </row>
    <row r="74" customFormat="false" ht="15" hidden="false" customHeight="false" outlineLevel="0" collapsed="false">
      <c r="A74" s="6"/>
      <c r="B74" s="6"/>
      <c r="C74" s="6"/>
      <c r="D74" s="11"/>
      <c r="E74" s="12" t="str">
        <f aca="false">IF(A74="","",SUMIFS('Qualifier Log'!$F$4:$F$1000,'Qualifier Log'!$B$4:$B$1000,A74))</f>
        <v/>
      </c>
      <c r="F74" s="12" t="str">
        <f aca="false">IF(A74="","",E74)</f>
        <v/>
      </c>
      <c r="G74" s="6"/>
      <c r="H74" s="12" t="str">
        <f aca="false">IF(A74="","",IF(F74&gt;='Reference Tables'!$B$14,"Yes — issue Silver card","-"))</f>
        <v/>
      </c>
    </row>
    <row r="75" customFormat="false" ht="15" hidden="false" customHeight="false" outlineLevel="0" collapsed="false">
      <c r="A75" s="6"/>
      <c r="B75" s="6"/>
      <c r="C75" s="6"/>
      <c r="D75" s="11"/>
      <c r="E75" s="12" t="str">
        <f aca="false">IF(A75="","",SUMIFS('Qualifier Log'!$F$4:$F$1000,'Qualifier Log'!$B$4:$B$1000,A75))</f>
        <v/>
      </c>
      <c r="F75" s="12" t="str">
        <f aca="false">IF(A75="","",E75)</f>
        <v/>
      </c>
      <c r="G75" s="6"/>
      <c r="H75" s="12" t="str">
        <f aca="false">IF(A75="","",IF(F75&gt;='Reference Tables'!$B$14,"Yes — issue Silver card","-"))</f>
        <v/>
      </c>
    </row>
    <row r="76" customFormat="false" ht="15" hidden="false" customHeight="false" outlineLevel="0" collapsed="false">
      <c r="A76" s="6"/>
      <c r="B76" s="6"/>
      <c r="C76" s="6"/>
      <c r="D76" s="11"/>
      <c r="E76" s="12" t="str">
        <f aca="false">IF(A76="","",SUMIFS('Qualifier Log'!$F$4:$F$1000,'Qualifier Log'!$B$4:$B$1000,A76))</f>
        <v/>
      </c>
      <c r="F76" s="12" t="str">
        <f aca="false">IF(A76="","",E76)</f>
        <v/>
      </c>
      <c r="G76" s="6"/>
      <c r="H76" s="12" t="str">
        <f aca="false">IF(A76="","",IF(F76&gt;='Reference Tables'!$B$14,"Yes — issue Silver card","-"))</f>
        <v/>
      </c>
    </row>
    <row r="77" customFormat="false" ht="15" hidden="false" customHeight="false" outlineLevel="0" collapsed="false">
      <c r="A77" s="6"/>
      <c r="B77" s="6"/>
      <c r="C77" s="6"/>
      <c r="D77" s="11"/>
      <c r="E77" s="12" t="str">
        <f aca="false">IF(A77="","",SUMIFS('Qualifier Log'!$F$4:$F$1000,'Qualifier Log'!$B$4:$B$1000,A77))</f>
        <v/>
      </c>
      <c r="F77" s="12" t="str">
        <f aca="false">IF(A77="","",E77)</f>
        <v/>
      </c>
      <c r="G77" s="6"/>
      <c r="H77" s="12" t="str">
        <f aca="false">IF(A77="","",IF(F77&gt;='Reference Tables'!$B$14,"Yes — issue Silver card","-"))</f>
        <v/>
      </c>
    </row>
    <row r="78" customFormat="false" ht="15" hidden="false" customHeight="false" outlineLevel="0" collapsed="false">
      <c r="A78" s="6"/>
      <c r="B78" s="6"/>
      <c r="C78" s="6"/>
      <c r="D78" s="11"/>
      <c r="E78" s="12" t="str">
        <f aca="false">IF(A78="","",SUMIFS('Qualifier Log'!$F$4:$F$1000,'Qualifier Log'!$B$4:$B$1000,A78))</f>
        <v/>
      </c>
      <c r="F78" s="12" t="str">
        <f aca="false">IF(A78="","",E78)</f>
        <v/>
      </c>
      <c r="G78" s="6"/>
      <c r="H78" s="12" t="str">
        <f aca="false">IF(A78="","",IF(F78&gt;='Reference Tables'!$B$14,"Yes — issue Silver card","-"))</f>
        <v/>
      </c>
    </row>
    <row r="79" customFormat="false" ht="15" hidden="false" customHeight="false" outlineLevel="0" collapsed="false">
      <c r="A79" s="6"/>
      <c r="B79" s="6"/>
      <c r="C79" s="6"/>
      <c r="D79" s="11"/>
      <c r="E79" s="12" t="str">
        <f aca="false">IF(A79="","",SUMIFS('Qualifier Log'!$F$4:$F$1000,'Qualifier Log'!$B$4:$B$1000,A79))</f>
        <v/>
      </c>
      <c r="F79" s="12" t="str">
        <f aca="false">IF(A79="","",E79)</f>
        <v/>
      </c>
      <c r="G79" s="6"/>
      <c r="H79" s="12" t="str">
        <f aca="false">IF(A79="","",IF(F79&gt;='Reference Tables'!$B$14,"Yes — issue Silver card","-"))</f>
        <v/>
      </c>
    </row>
    <row r="80" customFormat="false" ht="15" hidden="false" customHeight="false" outlineLevel="0" collapsed="false">
      <c r="A80" s="6"/>
      <c r="B80" s="6"/>
      <c r="C80" s="6"/>
      <c r="D80" s="11"/>
      <c r="E80" s="12" t="str">
        <f aca="false">IF(A80="","",SUMIFS('Qualifier Log'!$F$4:$F$1000,'Qualifier Log'!$B$4:$B$1000,A80))</f>
        <v/>
      </c>
      <c r="F80" s="12" t="str">
        <f aca="false">IF(A80="","",E80)</f>
        <v/>
      </c>
      <c r="G80" s="6"/>
      <c r="H80" s="12" t="str">
        <f aca="false">IF(A80="","",IF(F80&gt;='Reference Tables'!$B$14,"Yes — issue Silver card","-"))</f>
        <v/>
      </c>
    </row>
    <row r="81" customFormat="false" ht="15" hidden="false" customHeight="false" outlineLevel="0" collapsed="false">
      <c r="A81" s="6"/>
      <c r="B81" s="6"/>
      <c r="C81" s="6"/>
      <c r="D81" s="11"/>
      <c r="E81" s="12" t="str">
        <f aca="false">IF(A81="","",SUMIFS('Qualifier Log'!$F$4:$F$1000,'Qualifier Log'!$B$4:$B$1000,A81))</f>
        <v/>
      </c>
      <c r="F81" s="12" t="str">
        <f aca="false">IF(A81="","",E81)</f>
        <v/>
      </c>
      <c r="G81" s="6"/>
      <c r="H81" s="12" t="str">
        <f aca="false">IF(A81="","",IF(F81&gt;='Reference Tables'!$B$14,"Yes — issue Silver card","-"))</f>
        <v/>
      </c>
    </row>
    <row r="82" customFormat="false" ht="15" hidden="false" customHeight="false" outlineLevel="0" collapsed="false">
      <c r="A82" s="6"/>
      <c r="B82" s="6"/>
      <c r="C82" s="6"/>
      <c r="D82" s="11"/>
      <c r="E82" s="12" t="str">
        <f aca="false">IF(A82="","",SUMIFS('Qualifier Log'!$F$4:$F$1000,'Qualifier Log'!$B$4:$B$1000,A82))</f>
        <v/>
      </c>
      <c r="F82" s="12" t="str">
        <f aca="false">IF(A82="","",E82)</f>
        <v/>
      </c>
      <c r="G82" s="6"/>
      <c r="H82" s="12" t="str">
        <f aca="false">IF(A82="","",IF(F82&gt;='Reference Tables'!$B$14,"Yes — issue Silver card","-"))</f>
        <v/>
      </c>
    </row>
    <row r="83" customFormat="false" ht="15" hidden="false" customHeight="false" outlineLevel="0" collapsed="false">
      <c r="A83" s="6"/>
      <c r="B83" s="6"/>
      <c r="C83" s="6"/>
      <c r="D83" s="11"/>
      <c r="E83" s="12" t="str">
        <f aca="false">IF(A83="","",SUMIFS('Qualifier Log'!$F$4:$F$1000,'Qualifier Log'!$B$4:$B$1000,A83))</f>
        <v/>
      </c>
      <c r="F83" s="12" t="str">
        <f aca="false">IF(A83="","",E83)</f>
        <v/>
      </c>
      <c r="G83" s="6"/>
      <c r="H83" s="12" t="str">
        <f aca="false">IF(A83="","",IF(F83&gt;='Reference Tables'!$B$14,"Yes — issue Silver card","-"))</f>
        <v/>
      </c>
    </row>
    <row r="84" customFormat="false" ht="15" hidden="false" customHeight="false" outlineLevel="0" collapsed="false">
      <c r="A84" s="6"/>
      <c r="B84" s="6"/>
      <c r="C84" s="6"/>
      <c r="D84" s="11"/>
      <c r="E84" s="12" t="str">
        <f aca="false">IF(A84="","",SUMIFS('Qualifier Log'!$F$4:$F$1000,'Qualifier Log'!$B$4:$B$1000,A84))</f>
        <v/>
      </c>
      <c r="F84" s="12" t="str">
        <f aca="false">IF(A84="","",E84)</f>
        <v/>
      </c>
      <c r="G84" s="6"/>
      <c r="H84" s="12" t="str">
        <f aca="false">IF(A84="","",IF(F84&gt;='Reference Tables'!$B$14,"Yes — issue Silver card","-"))</f>
        <v/>
      </c>
    </row>
    <row r="85" customFormat="false" ht="15" hidden="false" customHeight="false" outlineLevel="0" collapsed="false">
      <c r="A85" s="6"/>
      <c r="B85" s="6"/>
      <c r="C85" s="6"/>
      <c r="D85" s="11"/>
      <c r="E85" s="12" t="str">
        <f aca="false">IF(A85="","",SUMIFS('Qualifier Log'!$F$4:$F$1000,'Qualifier Log'!$B$4:$B$1000,A85))</f>
        <v/>
      </c>
      <c r="F85" s="12" t="str">
        <f aca="false">IF(A85="","",E85)</f>
        <v/>
      </c>
      <c r="G85" s="6"/>
      <c r="H85" s="12" t="str">
        <f aca="false">IF(A85="","",IF(F85&gt;='Reference Tables'!$B$14,"Yes — issue Silver card","-"))</f>
        <v/>
      </c>
    </row>
    <row r="86" customFormat="false" ht="15" hidden="false" customHeight="false" outlineLevel="0" collapsed="false">
      <c r="A86" s="6"/>
      <c r="B86" s="6"/>
      <c r="C86" s="6"/>
      <c r="D86" s="11"/>
      <c r="E86" s="12" t="str">
        <f aca="false">IF(A86="","",SUMIFS('Qualifier Log'!$F$4:$F$1000,'Qualifier Log'!$B$4:$B$1000,A86))</f>
        <v/>
      </c>
      <c r="F86" s="12" t="str">
        <f aca="false">IF(A86="","",E86)</f>
        <v/>
      </c>
      <c r="G86" s="6"/>
      <c r="H86" s="12" t="str">
        <f aca="false">IF(A86="","",IF(F86&gt;='Reference Tables'!$B$14,"Yes — issue Silver card","-"))</f>
        <v/>
      </c>
    </row>
    <row r="87" customFormat="false" ht="15" hidden="false" customHeight="false" outlineLevel="0" collapsed="false">
      <c r="A87" s="6"/>
      <c r="B87" s="6"/>
      <c r="C87" s="6"/>
      <c r="D87" s="11"/>
      <c r="E87" s="12" t="str">
        <f aca="false">IF(A87="","",SUMIFS('Qualifier Log'!$F$4:$F$1000,'Qualifier Log'!$B$4:$B$1000,A87))</f>
        <v/>
      </c>
      <c r="F87" s="12" t="str">
        <f aca="false">IF(A87="","",E87)</f>
        <v/>
      </c>
      <c r="G87" s="6"/>
      <c r="H87" s="12" t="str">
        <f aca="false">IF(A87="","",IF(F87&gt;='Reference Tables'!$B$14,"Yes — issue Silver card","-"))</f>
        <v/>
      </c>
    </row>
    <row r="88" customFormat="false" ht="15" hidden="false" customHeight="false" outlineLevel="0" collapsed="false">
      <c r="A88" s="6"/>
      <c r="B88" s="6"/>
      <c r="C88" s="6"/>
      <c r="D88" s="11"/>
      <c r="E88" s="12" t="str">
        <f aca="false">IF(A88="","",SUMIFS('Qualifier Log'!$F$4:$F$1000,'Qualifier Log'!$B$4:$B$1000,A88))</f>
        <v/>
      </c>
      <c r="F88" s="12" t="str">
        <f aca="false">IF(A88="","",E88)</f>
        <v/>
      </c>
      <c r="G88" s="6"/>
      <c r="H88" s="12" t="str">
        <f aca="false">IF(A88="","",IF(F88&gt;='Reference Tables'!$B$14,"Yes — issue Silver card","-"))</f>
        <v/>
      </c>
    </row>
    <row r="89" customFormat="false" ht="15" hidden="false" customHeight="false" outlineLevel="0" collapsed="false">
      <c r="A89" s="6"/>
      <c r="B89" s="6"/>
      <c r="C89" s="6"/>
      <c r="D89" s="11"/>
      <c r="E89" s="12" t="str">
        <f aca="false">IF(A89="","",SUMIFS('Qualifier Log'!$F$4:$F$1000,'Qualifier Log'!$B$4:$B$1000,A89))</f>
        <v/>
      </c>
      <c r="F89" s="12" t="str">
        <f aca="false">IF(A89="","",E89)</f>
        <v/>
      </c>
      <c r="G89" s="6"/>
      <c r="H89" s="12" t="str">
        <f aca="false">IF(A89="","",IF(F89&gt;='Reference Tables'!$B$14,"Yes — issue Silver card","-"))</f>
        <v/>
      </c>
    </row>
    <row r="90" customFormat="false" ht="15" hidden="false" customHeight="false" outlineLevel="0" collapsed="false">
      <c r="A90" s="6"/>
      <c r="B90" s="6"/>
      <c r="C90" s="6"/>
      <c r="D90" s="11"/>
      <c r="E90" s="12" t="str">
        <f aca="false">IF(A90="","",SUMIFS('Qualifier Log'!$F$4:$F$1000,'Qualifier Log'!$B$4:$B$1000,A90))</f>
        <v/>
      </c>
      <c r="F90" s="12" t="str">
        <f aca="false">IF(A90="","",E90)</f>
        <v/>
      </c>
      <c r="G90" s="6"/>
      <c r="H90" s="12" t="str">
        <f aca="false">IF(A90="","",IF(F90&gt;='Reference Tables'!$B$14,"Yes — issue Silver card","-"))</f>
        <v/>
      </c>
    </row>
    <row r="91" customFormat="false" ht="15" hidden="false" customHeight="false" outlineLevel="0" collapsed="false">
      <c r="A91" s="6"/>
      <c r="B91" s="6"/>
      <c r="C91" s="6"/>
      <c r="D91" s="11"/>
      <c r="E91" s="12" t="str">
        <f aca="false">IF(A91="","",SUMIFS('Qualifier Log'!$F$4:$F$1000,'Qualifier Log'!$B$4:$B$1000,A91))</f>
        <v/>
      </c>
      <c r="F91" s="12" t="str">
        <f aca="false">IF(A91="","",E91)</f>
        <v/>
      </c>
      <c r="G91" s="6"/>
      <c r="H91" s="12" t="str">
        <f aca="false">IF(A91="","",IF(F91&gt;='Reference Tables'!$B$14,"Yes — issue Silver card","-"))</f>
        <v/>
      </c>
    </row>
    <row r="92" customFormat="false" ht="15" hidden="false" customHeight="false" outlineLevel="0" collapsed="false">
      <c r="A92" s="6"/>
      <c r="B92" s="6"/>
      <c r="C92" s="6"/>
      <c r="D92" s="11"/>
      <c r="E92" s="12" t="str">
        <f aca="false">IF(A92="","",SUMIFS('Qualifier Log'!$F$4:$F$1000,'Qualifier Log'!$B$4:$B$1000,A92))</f>
        <v/>
      </c>
      <c r="F92" s="12" t="str">
        <f aca="false">IF(A92="","",E92)</f>
        <v/>
      </c>
      <c r="G92" s="6"/>
      <c r="H92" s="12" t="str">
        <f aca="false">IF(A92="","",IF(F92&gt;='Reference Tables'!$B$14,"Yes — issue Silver card","-"))</f>
        <v/>
      </c>
    </row>
    <row r="93" customFormat="false" ht="15" hidden="false" customHeight="false" outlineLevel="0" collapsed="false">
      <c r="A93" s="6"/>
      <c r="B93" s="6"/>
      <c r="C93" s="6"/>
      <c r="D93" s="11"/>
      <c r="E93" s="12" t="str">
        <f aca="false">IF(A93="","",SUMIFS('Qualifier Log'!$F$4:$F$1000,'Qualifier Log'!$B$4:$B$1000,A93))</f>
        <v/>
      </c>
      <c r="F93" s="12" t="str">
        <f aca="false">IF(A93="","",E93)</f>
        <v/>
      </c>
      <c r="G93" s="6"/>
      <c r="H93" s="12" t="str">
        <f aca="false">IF(A93="","",IF(F93&gt;='Reference Tables'!$B$14,"Yes — issue Silver card","-"))</f>
        <v/>
      </c>
    </row>
    <row r="94" customFormat="false" ht="15" hidden="false" customHeight="false" outlineLevel="0" collapsed="false">
      <c r="A94" s="6"/>
      <c r="B94" s="6"/>
      <c r="C94" s="6"/>
      <c r="D94" s="11"/>
      <c r="E94" s="12" t="str">
        <f aca="false">IF(A94="","",SUMIFS('Qualifier Log'!$F$4:$F$1000,'Qualifier Log'!$B$4:$B$1000,A94))</f>
        <v/>
      </c>
      <c r="F94" s="12" t="str">
        <f aca="false">IF(A94="","",E94)</f>
        <v/>
      </c>
      <c r="G94" s="6"/>
      <c r="H94" s="12" t="str">
        <f aca="false">IF(A94="","",IF(F94&gt;='Reference Tables'!$B$14,"Yes — issue Silver card","-"))</f>
        <v/>
      </c>
    </row>
    <row r="95" customFormat="false" ht="15" hidden="false" customHeight="false" outlineLevel="0" collapsed="false">
      <c r="A95" s="6"/>
      <c r="B95" s="6"/>
      <c r="C95" s="6"/>
      <c r="D95" s="11"/>
      <c r="E95" s="12" t="str">
        <f aca="false">IF(A95="","",SUMIFS('Qualifier Log'!$F$4:$F$1000,'Qualifier Log'!$B$4:$B$1000,A95))</f>
        <v/>
      </c>
      <c r="F95" s="12" t="str">
        <f aca="false">IF(A95="","",E95)</f>
        <v/>
      </c>
      <c r="G95" s="6"/>
      <c r="H95" s="12" t="str">
        <f aca="false">IF(A95="","",IF(F95&gt;='Reference Tables'!$B$14,"Yes — issue Silver card","-"))</f>
        <v/>
      </c>
    </row>
    <row r="96" customFormat="false" ht="15" hidden="false" customHeight="false" outlineLevel="0" collapsed="false">
      <c r="A96" s="6"/>
      <c r="B96" s="6"/>
      <c r="C96" s="6"/>
      <c r="D96" s="11"/>
      <c r="E96" s="12" t="str">
        <f aca="false">IF(A96="","",SUMIFS('Qualifier Log'!$F$4:$F$1000,'Qualifier Log'!$B$4:$B$1000,A96))</f>
        <v/>
      </c>
      <c r="F96" s="12" t="str">
        <f aca="false">IF(A96="","",E96)</f>
        <v/>
      </c>
      <c r="G96" s="6"/>
      <c r="H96" s="12" t="str">
        <f aca="false">IF(A96="","",IF(F96&gt;='Reference Tables'!$B$14,"Yes — issue Silver card","-"))</f>
        <v/>
      </c>
    </row>
    <row r="97" customFormat="false" ht="15" hidden="false" customHeight="false" outlineLevel="0" collapsed="false">
      <c r="A97" s="6"/>
      <c r="B97" s="6"/>
      <c r="C97" s="6"/>
      <c r="D97" s="11"/>
      <c r="E97" s="12" t="str">
        <f aca="false">IF(A97="","",SUMIFS('Qualifier Log'!$F$4:$F$1000,'Qualifier Log'!$B$4:$B$1000,A97))</f>
        <v/>
      </c>
      <c r="F97" s="12" t="str">
        <f aca="false">IF(A97="","",E97)</f>
        <v/>
      </c>
      <c r="G97" s="6"/>
      <c r="H97" s="12" t="str">
        <f aca="false">IF(A97="","",IF(F97&gt;='Reference Tables'!$B$14,"Yes — issue Silver card","-"))</f>
        <v/>
      </c>
    </row>
    <row r="98" customFormat="false" ht="15" hidden="false" customHeight="false" outlineLevel="0" collapsed="false">
      <c r="A98" s="6"/>
      <c r="B98" s="6"/>
      <c r="C98" s="6"/>
      <c r="D98" s="11"/>
      <c r="E98" s="12" t="str">
        <f aca="false">IF(A98="","",SUMIFS('Qualifier Log'!$F$4:$F$1000,'Qualifier Log'!$B$4:$B$1000,A98))</f>
        <v/>
      </c>
      <c r="F98" s="12" t="str">
        <f aca="false">IF(A98="","",E98)</f>
        <v/>
      </c>
      <c r="G98" s="6"/>
      <c r="H98" s="12" t="str">
        <f aca="false">IF(A98="","",IF(F98&gt;='Reference Tables'!$B$14,"Yes — issue Silver card","-"))</f>
        <v/>
      </c>
    </row>
    <row r="99" customFormat="false" ht="15" hidden="false" customHeight="false" outlineLevel="0" collapsed="false">
      <c r="A99" s="6"/>
      <c r="B99" s="6"/>
      <c r="C99" s="6"/>
      <c r="D99" s="11"/>
      <c r="E99" s="12" t="str">
        <f aca="false">IF(A99="","",SUMIFS('Qualifier Log'!$F$4:$F$1000,'Qualifier Log'!$B$4:$B$1000,A99))</f>
        <v/>
      </c>
      <c r="F99" s="12" t="str">
        <f aca="false">IF(A99="","",E99)</f>
        <v/>
      </c>
      <c r="G99" s="6"/>
      <c r="H99" s="12" t="str">
        <f aca="false">IF(A99="","",IF(F99&gt;='Reference Tables'!$B$14,"Yes — issue Silver card","-"))</f>
        <v/>
      </c>
    </row>
    <row r="100" customFormat="false" ht="15" hidden="false" customHeight="false" outlineLevel="0" collapsed="false">
      <c r="A100" s="6"/>
      <c r="B100" s="6"/>
      <c r="C100" s="6"/>
      <c r="D100" s="11"/>
      <c r="E100" s="12" t="str">
        <f aca="false">IF(A100="","",SUMIFS('Qualifier Log'!$F$4:$F$1000,'Qualifier Log'!$B$4:$B$1000,A100))</f>
        <v/>
      </c>
      <c r="F100" s="12" t="str">
        <f aca="false">IF(A100="","",E100)</f>
        <v/>
      </c>
      <c r="G100" s="6"/>
      <c r="H100" s="12" t="str">
        <f aca="false">IF(A100="","",IF(F100&gt;='Reference Tables'!$B$14,"Yes — issue Silver card","-"))</f>
        <v/>
      </c>
    </row>
    <row r="101" customFormat="false" ht="15" hidden="false" customHeight="false" outlineLevel="0" collapsed="false">
      <c r="A101" s="6"/>
      <c r="B101" s="6"/>
      <c r="C101" s="6"/>
      <c r="D101" s="11"/>
      <c r="E101" s="12" t="str">
        <f aca="false">IF(A101="","",SUMIFS('Qualifier Log'!$F$4:$F$1000,'Qualifier Log'!$B$4:$B$1000,A101))</f>
        <v/>
      </c>
      <c r="F101" s="12" t="str">
        <f aca="false">IF(A101="","",E101)</f>
        <v/>
      </c>
      <c r="G101" s="6"/>
      <c r="H101" s="12" t="str">
        <f aca="false">IF(A101="","",IF(F101&gt;='Reference Tables'!$B$14,"Yes — issue Silver card","-"))</f>
        <v/>
      </c>
    </row>
    <row r="102" customFormat="false" ht="15" hidden="false" customHeight="false" outlineLevel="0" collapsed="false">
      <c r="A102" s="6"/>
      <c r="B102" s="6"/>
      <c r="C102" s="6"/>
      <c r="D102" s="11"/>
      <c r="E102" s="12" t="str">
        <f aca="false">IF(A102="","",SUMIFS('Qualifier Log'!$F$4:$F$1000,'Qualifier Log'!$B$4:$B$1000,A102))</f>
        <v/>
      </c>
      <c r="F102" s="12" t="str">
        <f aca="false">IF(A102="","",E102)</f>
        <v/>
      </c>
      <c r="G102" s="6"/>
      <c r="H102" s="12" t="str">
        <f aca="false">IF(A102="","",IF(F102&gt;='Reference Tables'!$B$14,"Yes — issue Silver card","-"))</f>
        <v/>
      </c>
    </row>
    <row r="103" customFormat="false" ht="15" hidden="false" customHeight="false" outlineLevel="0" collapsed="false">
      <c r="A103" s="6"/>
      <c r="B103" s="6"/>
      <c r="C103" s="6"/>
      <c r="D103" s="11"/>
      <c r="E103" s="12" t="str">
        <f aca="false">IF(A103="","",SUMIFS('Qualifier Log'!$F$4:$F$1000,'Qualifier Log'!$B$4:$B$1000,A103))</f>
        <v/>
      </c>
      <c r="F103" s="12" t="str">
        <f aca="false">IF(A103="","",E103)</f>
        <v/>
      </c>
      <c r="G103" s="6"/>
      <c r="H103" s="12" t="str">
        <f aca="false">IF(A103="","",IF(F103&gt;='Reference Tables'!$B$14,"Yes — issue Silver card","-"))</f>
        <v/>
      </c>
    </row>
  </sheetData>
  <dataValidations count="1">
    <dataValidation allowBlank="true" errorStyle="stop" operator="between" showDropDown="false" showErrorMessage="false" showInputMessage="false" sqref="G4:G103" type="list">
      <formula1>"Active,Upgraded"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20"/>
    <col collapsed="false" customWidth="true" hidden="false" outlineLevel="0" max="4" min="4" style="0" width="18"/>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9" min="8" style="0" width="15"/>
    <col collapsed="false" customWidth="true" hidden="false" outlineLevel="0" max="10" min="10" style="0" width="16"/>
    <col collapsed="false" customWidth="true" hidden="false" outlineLevel="0" max="11" min="11" style="0" width="15"/>
    <col collapsed="false" customWidth="true" hidden="false" outlineLevel="0" max="12" min="12" style="0" width="22"/>
  </cols>
  <sheetData>
    <row r="1" customFormat="false" ht="17.35" hidden="false" customHeight="false" outlineLevel="0" collapsed="false">
      <c r="A1" s="1" t="s">
        <v>66</v>
      </c>
    </row>
    <row r="2" customFormat="false" ht="15" hidden="false" customHeight="false" outlineLevel="0" collapsed="false">
      <c r="A2" s="2" t="s">
        <v>67</v>
      </c>
    </row>
    <row r="3" customFormat="false" ht="31.5" hidden="false" customHeight="true" outlineLevel="0" collapsed="false">
      <c r="A3" s="10" t="s">
        <v>68</v>
      </c>
      <c r="B3" s="10" t="s">
        <v>53</v>
      </c>
      <c r="C3" s="10" t="s">
        <v>54</v>
      </c>
      <c r="D3" s="10" t="s">
        <v>69</v>
      </c>
      <c r="E3" s="10" t="s">
        <v>32</v>
      </c>
      <c r="F3" s="10" t="s">
        <v>33</v>
      </c>
      <c r="G3" s="10" t="s">
        <v>44</v>
      </c>
      <c r="H3" s="10" t="s">
        <v>70</v>
      </c>
      <c r="I3" s="10" t="s">
        <v>71</v>
      </c>
      <c r="J3" s="10" t="s">
        <v>72</v>
      </c>
      <c r="K3" s="10" t="s">
        <v>73</v>
      </c>
      <c r="L3" s="10" t="s">
        <v>74</v>
      </c>
    </row>
    <row r="4" customFormat="false" ht="15" hidden="false" customHeight="false" outlineLevel="0" collapsed="false">
      <c r="A4" s="11" t="s">
        <v>75</v>
      </c>
      <c r="B4" s="6" t="s">
        <v>61</v>
      </c>
      <c r="C4" s="12" t="str">
        <f aca="false">IF(B4="","",IFERROR(INDEX('Qualifier Registry'!$B$4:$B$103,MATCH(B4,'Qualifier Registry'!$A$4:$A$103,0)),"Not found"))</f>
        <v>Juan Dela Cruz</v>
      </c>
      <c r="D4" s="6" t="s">
        <v>37</v>
      </c>
      <c r="E4" s="13" t="n">
        <f aca="false">IF(D4="","",IFERROR(INDEX('Reference Tables'!$B$3:$B$8,MATCH(D4,'Reference Tables'!$A$3:$A$8,0)),"Invalid package"))</f>
        <v>100</v>
      </c>
      <c r="F4" s="12" t="n">
        <f aca="false">IF(D4="","",IFERROR(INDEX('Reference Tables'!$C$3:$C$8,MATCH(D4,'Reference Tables'!$A$3:$A$8,0)),"Invalid package"))</f>
        <v>10</v>
      </c>
      <c r="G4" s="14" t="n">
        <f aca="false">IF(E4="","",'Reference Tables'!$C$13)</f>
        <v>0</v>
      </c>
      <c r="H4" s="12" t="str">
        <f aca="false">IF(E4="","",IF(E4&gt;=150,"Yes","No"))</f>
        <v>No</v>
      </c>
      <c r="I4" s="13" t="n">
        <f aca="false">IF(E4="","",IF(H4="Yes",E4*G4,0))</f>
        <v>0</v>
      </c>
      <c r="J4" s="13" t="n">
        <f aca="false">IF(E4="","",E4-I4)</f>
        <v>100</v>
      </c>
      <c r="K4" s="6" t="s">
        <v>76</v>
      </c>
      <c r="L4" s="6" t="s">
        <v>77</v>
      </c>
    </row>
    <row r="5" customFormat="false" ht="15" hidden="false" customHeight="false" outlineLevel="0" collapsed="false">
      <c r="A5" s="11"/>
      <c r="B5" s="6"/>
      <c r="C5" s="12" t="str">
        <f aca="false">IF(B5="","",IFERROR(INDEX('Qualifier Registry'!$B$4:$B$103,MATCH(B5,'Qualifier Registry'!$A$4:$A$103,0)),"Not found"))</f>
        <v/>
      </c>
      <c r="D5" s="6"/>
      <c r="E5" s="13" t="str">
        <f aca="false">IF(D5="","",IFERROR(INDEX('Reference Tables'!$B$3:$B$8,MATCH(D5,'Reference Tables'!$A$3:$A$8,0)),"Invalid package"))</f>
        <v/>
      </c>
      <c r="F5" s="12" t="str">
        <f aca="false">IF(D5="","",IFERROR(INDEX('Reference Tables'!$C$3:$C$8,MATCH(D5,'Reference Tables'!$A$3:$A$8,0)),"Invalid package"))</f>
        <v/>
      </c>
      <c r="G5" s="14" t="str">
        <f aca="false">IF(E5="","",'Reference Tables'!$C$13)</f>
        <v/>
      </c>
      <c r="H5" s="12" t="str">
        <f aca="false">IF(E5="","",IF(E5&gt;=150,"Yes","No"))</f>
        <v/>
      </c>
      <c r="I5" s="13" t="str">
        <f aca="false">IF(E5="","",IF(H5="Yes",E5*G5,0))</f>
        <v/>
      </c>
      <c r="J5" s="13" t="str">
        <f aca="false">IF(E5="","",E5-I5)</f>
        <v/>
      </c>
      <c r="K5" s="6"/>
      <c r="L5" s="6"/>
    </row>
    <row r="6" customFormat="false" ht="15" hidden="false" customHeight="false" outlineLevel="0" collapsed="false">
      <c r="A6" s="11"/>
      <c r="B6" s="6"/>
      <c r="C6" s="12" t="str">
        <f aca="false">IF(B6="","",IFERROR(INDEX('Qualifier Registry'!$B$4:$B$103,MATCH(B6,'Qualifier Registry'!$A$4:$A$103,0)),"Not found"))</f>
        <v/>
      </c>
      <c r="D6" s="6"/>
      <c r="E6" s="13" t="str">
        <f aca="false">IF(D6="","",IFERROR(INDEX('Reference Tables'!$B$3:$B$8,MATCH(D6,'Reference Tables'!$A$3:$A$8,0)),"Invalid package"))</f>
        <v/>
      </c>
      <c r="F6" s="12" t="str">
        <f aca="false">IF(D6="","",IFERROR(INDEX('Reference Tables'!$C$3:$C$8,MATCH(D6,'Reference Tables'!$A$3:$A$8,0)),"Invalid package"))</f>
        <v/>
      </c>
      <c r="G6" s="14" t="str">
        <f aca="false">IF(E6="","",'Reference Tables'!$C$13)</f>
        <v/>
      </c>
      <c r="H6" s="12" t="str">
        <f aca="false">IF(E6="","",IF(E6&gt;=150,"Yes","No"))</f>
        <v/>
      </c>
      <c r="I6" s="13" t="str">
        <f aca="false">IF(E6="","",IF(H6="Yes",E6*G6,0))</f>
        <v/>
      </c>
      <c r="J6" s="13" t="str">
        <f aca="false">IF(E6="","",E6-I6)</f>
        <v/>
      </c>
      <c r="K6" s="6"/>
      <c r="L6" s="6"/>
    </row>
    <row r="7" customFormat="false" ht="15" hidden="false" customHeight="false" outlineLevel="0" collapsed="false">
      <c r="A7" s="11"/>
      <c r="B7" s="6"/>
      <c r="C7" s="12" t="str">
        <f aca="false">IF(B7="","",IFERROR(INDEX('Qualifier Registry'!$B$4:$B$103,MATCH(B7,'Qualifier Registry'!$A$4:$A$103,0)),"Not found"))</f>
        <v/>
      </c>
      <c r="D7" s="6"/>
      <c r="E7" s="13" t="str">
        <f aca="false">IF(D7="","",IFERROR(INDEX('Reference Tables'!$B$3:$B$8,MATCH(D7,'Reference Tables'!$A$3:$A$8,0)),"Invalid package"))</f>
        <v/>
      </c>
      <c r="F7" s="12" t="str">
        <f aca="false">IF(D7="","",IFERROR(INDEX('Reference Tables'!$C$3:$C$8,MATCH(D7,'Reference Tables'!$A$3:$A$8,0)),"Invalid package"))</f>
        <v/>
      </c>
      <c r="G7" s="14" t="str">
        <f aca="false">IF(E7="","",'Reference Tables'!$C$13)</f>
        <v/>
      </c>
      <c r="H7" s="12" t="str">
        <f aca="false">IF(E7="","",IF(E7&gt;=150,"Yes","No"))</f>
        <v/>
      </c>
      <c r="I7" s="13" t="str">
        <f aca="false">IF(E7="","",IF(H7="Yes",E7*G7,0))</f>
        <v/>
      </c>
      <c r="J7" s="13" t="str">
        <f aca="false">IF(E7="","",E7-I7)</f>
        <v/>
      </c>
      <c r="K7" s="6"/>
      <c r="L7" s="6"/>
    </row>
    <row r="8" customFormat="false" ht="15" hidden="false" customHeight="false" outlineLevel="0" collapsed="false">
      <c r="A8" s="11"/>
      <c r="B8" s="6"/>
      <c r="C8" s="12" t="str">
        <f aca="false">IF(B8="","",IFERROR(INDEX('Qualifier Registry'!$B$4:$B$103,MATCH(B8,'Qualifier Registry'!$A$4:$A$103,0)),"Not found"))</f>
        <v/>
      </c>
      <c r="D8" s="6"/>
      <c r="E8" s="13" t="str">
        <f aca="false">IF(D8="","",IFERROR(INDEX('Reference Tables'!$B$3:$B$8,MATCH(D8,'Reference Tables'!$A$3:$A$8,0)),"Invalid package"))</f>
        <v/>
      </c>
      <c r="F8" s="12" t="str">
        <f aca="false">IF(D8="","",IFERROR(INDEX('Reference Tables'!$C$3:$C$8,MATCH(D8,'Reference Tables'!$A$3:$A$8,0)),"Invalid package"))</f>
        <v/>
      </c>
      <c r="G8" s="14" t="str">
        <f aca="false">IF(E8="","",'Reference Tables'!$C$13)</f>
        <v/>
      </c>
      <c r="H8" s="12" t="str">
        <f aca="false">IF(E8="","",IF(E8&gt;=150,"Yes","No"))</f>
        <v/>
      </c>
      <c r="I8" s="13" t="str">
        <f aca="false">IF(E8="","",IF(H8="Yes",E8*G8,0))</f>
        <v/>
      </c>
      <c r="J8" s="13" t="str">
        <f aca="false">IF(E8="","",E8-I8)</f>
        <v/>
      </c>
      <c r="K8" s="6"/>
      <c r="L8" s="6"/>
    </row>
    <row r="9" customFormat="false" ht="15" hidden="false" customHeight="false" outlineLevel="0" collapsed="false">
      <c r="A9" s="11"/>
      <c r="B9" s="6"/>
      <c r="C9" s="12" t="str">
        <f aca="false">IF(B9="","",IFERROR(INDEX('Qualifier Registry'!$B$4:$B$103,MATCH(B9,'Qualifier Registry'!$A$4:$A$103,0)),"Not found"))</f>
        <v/>
      </c>
      <c r="D9" s="6"/>
      <c r="E9" s="13" t="str">
        <f aca="false">IF(D9="","",IFERROR(INDEX('Reference Tables'!$B$3:$B$8,MATCH(D9,'Reference Tables'!$A$3:$A$8,0)),"Invalid package"))</f>
        <v/>
      </c>
      <c r="F9" s="12" t="str">
        <f aca="false">IF(D9="","",IFERROR(INDEX('Reference Tables'!$C$3:$C$8,MATCH(D9,'Reference Tables'!$A$3:$A$8,0)),"Invalid package"))</f>
        <v/>
      </c>
      <c r="G9" s="14" t="str">
        <f aca="false">IF(E9="","",'Reference Tables'!$C$13)</f>
        <v/>
      </c>
      <c r="H9" s="12" t="str">
        <f aca="false">IF(E9="","",IF(E9&gt;=150,"Yes","No"))</f>
        <v/>
      </c>
      <c r="I9" s="13" t="str">
        <f aca="false">IF(E9="","",IF(H9="Yes",E9*G9,0))</f>
        <v/>
      </c>
      <c r="J9" s="13" t="str">
        <f aca="false">IF(E9="","",E9-I9)</f>
        <v/>
      </c>
      <c r="K9" s="6"/>
      <c r="L9" s="6"/>
    </row>
    <row r="10" customFormat="false" ht="15" hidden="false" customHeight="false" outlineLevel="0" collapsed="false">
      <c r="A10" s="11"/>
      <c r="B10" s="6"/>
      <c r="C10" s="12" t="str">
        <f aca="false">IF(B10="","",IFERROR(INDEX('Qualifier Registry'!$B$4:$B$103,MATCH(B10,'Qualifier Registry'!$A$4:$A$103,0)),"Not found"))</f>
        <v/>
      </c>
      <c r="D10" s="6"/>
      <c r="E10" s="13" t="str">
        <f aca="false">IF(D10="","",IFERROR(INDEX('Reference Tables'!$B$3:$B$8,MATCH(D10,'Reference Tables'!$A$3:$A$8,0)),"Invalid package"))</f>
        <v/>
      </c>
      <c r="F10" s="12" t="str">
        <f aca="false">IF(D10="","",IFERROR(INDEX('Reference Tables'!$C$3:$C$8,MATCH(D10,'Reference Tables'!$A$3:$A$8,0)),"Invalid package"))</f>
        <v/>
      </c>
      <c r="G10" s="14" t="str">
        <f aca="false">IF(E10="","",'Reference Tables'!$C$13)</f>
        <v/>
      </c>
      <c r="H10" s="12" t="str">
        <f aca="false">IF(E10="","",IF(E10&gt;=150,"Yes","No"))</f>
        <v/>
      </c>
      <c r="I10" s="13" t="str">
        <f aca="false">IF(E10="","",IF(H10="Yes",E10*G10,0))</f>
        <v/>
      </c>
      <c r="J10" s="13" t="str">
        <f aca="false">IF(E10="","",E10-I10)</f>
        <v/>
      </c>
      <c r="K10" s="6"/>
      <c r="L10" s="6"/>
    </row>
    <row r="11" customFormat="false" ht="15" hidden="false" customHeight="false" outlineLevel="0" collapsed="false">
      <c r="A11" s="11"/>
      <c r="B11" s="6"/>
      <c r="C11" s="12" t="str">
        <f aca="false">IF(B11="","",IFERROR(INDEX('Qualifier Registry'!$B$4:$B$103,MATCH(B11,'Qualifier Registry'!$A$4:$A$103,0)),"Not found"))</f>
        <v/>
      </c>
      <c r="D11" s="6"/>
      <c r="E11" s="13" t="str">
        <f aca="false">IF(D11="","",IFERROR(INDEX('Reference Tables'!$B$3:$B$8,MATCH(D11,'Reference Tables'!$A$3:$A$8,0)),"Invalid package"))</f>
        <v/>
      </c>
      <c r="F11" s="12" t="str">
        <f aca="false">IF(D11="","",IFERROR(INDEX('Reference Tables'!$C$3:$C$8,MATCH(D11,'Reference Tables'!$A$3:$A$8,0)),"Invalid package"))</f>
        <v/>
      </c>
      <c r="G11" s="14" t="str">
        <f aca="false">IF(E11="","",'Reference Tables'!$C$13)</f>
        <v/>
      </c>
      <c r="H11" s="12" t="str">
        <f aca="false">IF(E11="","",IF(E11&gt;=150,"Yes","No"))</f>
        <v/>
      </c>
      <c r="I11" s="13" t="str">
        <f aca="false">IF(E11="","",IF(H11="Yes",E11*G11,0))</f>
        <v/>
      </c>
      <c r="J11" s="13" t="str">
        <f aca="false">IF(E11="","",E11-I11)</f>
        <v/>
      </c>
      <c r="K11" s="6"/>
      <c r="L11" s="6"/>
    </row>
    <row r="12" customFormat="false" ht="15" hidden="false" customHeight="false" outlineLevel="0" collapsed="false">
      <c r="A12" s="11"/>
      <c r="B12" s="6"/>
      <c r="C12" s="12" t="str">
        <f aca="false">IF(B12="","",IFERROR(INDEX('Qualifier Registry'!$B$4:$B$103,MATCH(B12,'Qualifier Registry'!$A$4:$A$103,0)),"Not found"))</f>
        <v/>
      </c>
      <c r="D12" s="6"/>
      <c r="E12" s="13" t="str">
        <f aca="false">IF(D12="","",IFERROR(INDEX('Reference Tables'!$B$3:$B$8,MATCH(D12,'Reference Tables'!$A$3:$A$8,0)),"Invalid package"))</f>
        <v/>
      </c>
      <c r="F12" s="12" t="str">
        <f aca="false">IF(D12="","",IFERROR(INDEX('Reference Tables'!$C$3:$C$8,MATCH(D12,'Reference Tables'!$A$3:$A$8,0)),"Invalid package"))</f>
        <v/>
      </c>
      <c r="G12" s="14" t="str">
        <f aca="false">IF(E12="","",'Reference Tables'!$C$13)</f>
        <v/>
      </c>
      <c r="H12" s="12" t="str">
        <f aca="false">IF(E12="","",IF(E12&gt;=150,"Yes","No"))</f>
        <v/>
      </c>
      <c r="I12" s="13" t="str">
        <f aca="false">IF(E12="","",IF(H12="Yes",E12*G12,0))</f>
        <v/>
      </c>
      <c r="J12" s="13" t="str">
        <f aca="false">IF(E12="","",E12-I12)</f>
        <v/>
      </c>
      <c r="K12" s="6"/>
      <c r="L12" s="6"/>
    </row>
    <row r="13" customFormat="false" ht="15" hidden="false" customHeight="false" outlineLevel="0" collapsed="false">
      <c r="A13" s="11"/>
      <c r="B13" s="6"/>
      <c r="C13" s="12" t="str">
        <f aca="false">IF(B13="","",IFERROR(INDEX('Qualifier Registry'!$B$4:$B$103,MATCH(B13,'Qualifier Registry'!$A$4:$A$103,0)),"Not found"))</f>
        <v/>
      </c>
      <c r="D13" s="6"/>
      <c r="E13" s="13" t="str">
        <f aca="false">IF(D13="","",IFERROR(INDEX('Reference Tables'!$B$3:$B$8,MATCH(D13,'Reference Tables'!$A$3:$A$8,0)),"Invalid package"))</f>
        <v/>
      </c>
      <c r="F13" s="12" t="str">
        <f aca="false">IF(D13="","",IFERROR(INDEX('Reference Tables'!$C$3:$C$8,MATCH(D13,'Reference Tables'!$A$3:$A$8,0)),"Invalid package"))</f>
        <v/>
      </c>
      <c r="G13" s="14" t="str">
        <f aca="false">IF(E13="","",'Reference Tables'!$C$13)</f>
        <v/>
      </c>
      <c r="H13" s="12" t="str">
        <f aca="false">IF(E13="","",IF(E13&gt;=150,"Yes","No"))</f>
        <v/>
      </c>
      <c r="I13" s="13" t="str">
        <f aca="false">IF(E13="","",IF(H13="Yes",E13*G13,0))</f>
        <v/>
      </c>
      <c r="J13" s="13" t="str">
        <f aca="false">IF(E13="","",E13-I13)</f>
        <v/>
      </c>
      <c r="K13" s="6"/>
      <c r="L13" s="6"/>
    </row>
    <row r="14" customFormat="false" ht="15" hidden="false" customHeight="false" outlineLevel="0" collapsed="false">
      <c r="A14" s="11"/>
      <c r="B14" s="6"/>
      <c r="C14" s="12" t="str">
        <f aca="false">IF(B14="","",IFERROR(INDEX('Qualifier Registry'!$B$4:$B$103,MATCH(B14,'Qualifier Registry'!$A$4:$A$103,0)),"Not found"))</f>
        <v/>
      </c>
      <c r="D14" s="6"/>
      <c r="E14" s="13" t="str">
        <f aca="false">IF(D14="","",IFERROR(INDEX('Reference Tables'!$B$3:$B$8,MATCH(D14,'Reference Tables'!$A$3:$A$8,0)),"Invalid package"))</f>
        <v/>
      </c>
      <c r="F14" s="12" t="str">
        <f aca="false">IF(D14="","",IFERROR(INDEX('Reference Tables'!$C$3:$C$8,MATCH(D14,'Reference Tables'!$A$3:$A$8,0)),"Invalid package"))</f>
        <v/>
      </c>
      <c r="G14" s="14" t="str">
        <f aca="false">IF(E14="","",'Reference Tables'!$C$13)</f>
        <v/>
      </c>
      <c r="H14" s="12" t="str">
        <f aca="false">IF(E14="","",IF(E14&gt;=150,"Yes","No"))</f>
        <v/>
      </c>
      <c r="I14" s="13" t="str">
        <f aca="false">IF(E14="","",IF(H14="Yes",E14*G14,0))</f>
        <v/>
      </c>
      <c r="J14" s="13" t="str">
        <f aca="false">IF(E14="","",E14-I14)</f>
        <v/>
      </c>
      <c r="K14" s="6"/>
      <c r="L14" s="6"/>
    </row>
    <row r="15" customFormat="false" ht="15" hidden="false" customHeight="false" outlineLevel="0" collapsed="false">
      <c r="A15" s="11"/>
      <c r="B15" s="6"/>
      <c r="C15" s="12" t="str">
        <f aca="false">IF(B15="","",IFERROR(INDEX('Qualifier Registry'!$B$4:$B$103,MATCH(B15,'Qualifier Registry'!$A$4:$A$103,0)),"Not found"))</f>
        <v/>
      </c>
      <c r="D15" s="6"/>
      <c r="E15" s="13" t="str">
        <f aca="false">IF(D15="","",IFERROR(INDEX('Reference Tables'!$B$3:$B$8,MATCH(D15,'Reference Tables'!$A$3:$A$8,0)),"Invalid package"))</f>
        <v/>
      </c>
      <c r="F15" s="12" t="str">
        <f aca="false">IF(D15="","",IFERROR(INDEX('Reference Tables'!$C$3:$C$8,MATCH(D15,'Reference Tables'!$A$3:$A$8,0)),"Invalid package"))</f>
        <v/>
      </c>
      <c r="G15" s="14" t="str">
        <f aca="false">IF(E15="","",'Reference Tables'!$C$13)</f>
        <v/>
      </c>
      <c r="H15" s="12" t="str">
        <f aca="false">IF(E15="","",IF(E15&gt;=150,"Yes","No"))</f>
        <v/>
      </c>
      <c r="I15" s="13" t="str">
        <f aca="false">IF(E15="","",IF(H15="Yes",E15*G15,0))</f>
        <v/>
      </c>
      <c r="J15" s="13" t="str">
        <f aca="false">IF(E15="","",E15-I15)</f>
        <v/>
      </c>
      <c r="K15" s="6"/>
      <c r="L15" s="6"/>
    </row>
    <row r="16" customFormat="false" ht="15" hidden="false" customHeight="false" outlineLevel="0" collapsed="false">
      <c r="A16" s="11"/>
      <c r="B16" s="6"/>
      <c r="C16" s="12" t="str">
        <f aca="false">IF(B16="","",IFERROR(INDEX('Qualifier Registry'!$B$4:$B$103,MATCH(B16,'Qualifier Registry'!$A$4:$A$103,0)),"Not found"))</f>
        <v/>
      </c>
      <c r="D16" s="6"/>
      <c r="E16" s="13" t="str">
        <f aca="false">IF(D16="","",IFERROR(INDEX('Reference Tables'!$B$3:$B$8,MATCH(D16,'Reference Tables'!$A$3:$A$8,0)),"Invalid package"))</f>
        <v/>
      </c>
      <c r="F16" s="12" t="str">
        <f aca="false">IF(D16="","",IFERROR(INDEX('Reference Tables'!$C$3:$C$8,MATCH(D16,'Reference Tables'!$A$3:$A$8,0)),"Invalid package"))</f>
        <v/>
      </c>
      <c r="G16" s="14" t="str">
        <f aca="false">IF(E16="","",'Reference Tables'!$C$13)</f>
        <v/>
      </c>
      <c r="H16" s="12" t="str">
        <f aca="false">IF(E16="","",IF(E16&gt;=150,"Yes","No"))</f>
        <v/>
      </c>
      <c r="I16" s="13" t="str">
        <f aca="false">IF(E16="","",IF(H16="Yes",E16*G16,0))</f>
        <v/>
      </c>
      <c r="J16" s="13" t="str">
        <f aca="false">IF(E16="","",E16-I16)</f>
        <v/>
      </c>
      <c r="K16" s="6"/>
      <c r="L16" s="6"/>
    </row>
    <row r="17" customFormat="false" ht="15" hidden="false" customHeight="false" outlineLevel="0" collapsed="false">
      <c r="A17" s="11"/>
      <c r="B17" s="6"/>
      <c r="C17" s="12" t="str">
        <f aca="false">IF(B17="","",IFERROR(INDEX('Qualifier Registry'!$B$4:$B$103,MATCH(B17,'Qualifier Registry'!$A$4:$A$103,0)),"Not found"))</f>
        <v/>
      </c>
      <c r="D17" s="6"/>
      <c r="E17" s="13" t="str">
        <f aca="false">IF(D17="","",IFERROR(INDEX('Reference Tables'!$B$3:$B$8,MATCH(D17,'Reference Tables'!$A$3:$A$8,0)),"Invalid package"))</f>
        <v/>
      </c>
      <c r="F17" s="12" t="str">
        <f aca="false">IF(D17="","",IFERROR(INDEX('Reference Tables'!$C$3:$C$8,MATCH(D17,'Reference Tables'!$A$3:$A$8,0)),"Invalid package"))</f>
        <v/>
      </c>
      <c r="G17" s="14" t="str">
        <f aca="false">IF(E17="","",'Reference Tables'!$C$13)</f>
        <v/>
      </c>
      <c r="H17" s="12" t="str">
        <f aca="false">IF(E17="","",IF(E17&gt;=150,"Yes","No"))</f>
        <v/>
      </c>
      <c r="I17" s="13" t="str">
        <f aca="false">IF(E17="","",IF(H17="Yes",E17*G17,0))</f>
        <v/>
      </c>
      <c r="J17" s="13" t="str">
        <f aca="false">IF(E17="","",E17-I17)</f>
        <v/>
      </c>
      <c r="K17" s="6"/>
      <c r="L17" s="6"/>
    </row>
    <row r="18" customFormat="false" ht="15" hidden="false" customHeight="false" outlineLevel="0" collapsed="false">
      <c r="A18" s="11"/>
      <c r="B18" s="6"/>
      <c r="C18" s="12" t="str">
        <f aca="false">IF(B18="","",IFERROR(INDEX('Qualifier Registry'!$B$4:$B$103,MATCH(B18,'Qualifier Registry'!$A$4:$A$103,0)),"Not found"))</f>
        <v/>
      </c>
      <c r="D18" s="6"/>
      <c r="E18" s="13" t="str">
        <f aca="false">IF(D18="","",IFERROR(INDEX('Reference Tables'!$B$3:$B$8,MATCH(D18,'Reference Tables'!$A$3:$A$8,0)),"Invalid package"))</f>
        <v/>
      </c>
      <c r="F18" s="12" t="str">
        <f aca="false">IF(D18="","",IFERROR(INDEX('Reference Tables'!$C$3:$C$8,MATCH(D18,'Reference Tables'!$A$3:$A$8,0)),"Invalid package"))</f>
        <v/>
      </c>
      <c r="G18" s="14" t="str">
        <f aca="false">IF(E18="","",'Reference Tables'!$C$13)</f>
        <v/>
      </c>
      <c r="H18" s="12" t="str">
        <f aca="false">IF(E18="","",IF(E18&gt;=150,"Yes","No"))</f>
        <v/>
      </c>
      <c r="I18" s="13" t="str">
        <f aca="false">IF(E18="","",IF(H18="Yes",E18*G18,0))</f>
        <v/>
      </c>
      <c r="J18" s="13" t="str">
        <f aca="false">IF(E18="","",E18-I18)</f>
        <v/>
      </c>
      <c r="K18" s="6"/>
      <c r="L18" s="6"/>
    </row>
    <row r="19" customFormat="false" ht="15" hidden="false" customHeight="false" outlineLevel="0" collapsed="false">
      <c r="A19" s="11"/>
      <c r="B19" s="6"/>
      <c r="C19" s="12" t="str">
        <f aca="false">IF(B19="","",IFERROR(INDEX('Qualifier Registry'!$B$4:$B$103,MATCH(B19,'Qualifier Registry'!$A$4:$A$103,0)),"Not found"))</f>
        <v/>
      </c>
      <c r="D19" s="6"/>
      <c r="E19" s="13" t="str">
        <f aca="false">IF(D19="","",IFERROR(INDEX('Reference Tables'!$B$3:$B$8,MATCH(D19,'Reference Tables'!$A$3:$A$8,0)),"Invalid package"))</f>
        <v/>
      </c>
      <c r="F19" s="12" t="str">
        <f aca="false">IF(D19="","",IFERROR(INDEX('Reference Tables'!$C$3:$C$8,MATCH(D19,'Reference Tables'!$A$3:$A$8,0)),"Invalid package"))</f>
        <v/>
      </c>
      <c r="G19" s="14" t="str">
        <f aca="false">IF(E19="","",'Reference Tables'!$C$13)</f>
        <v/>
      </c>
      <c r="H19" s="12" t="str">
        <f aca="false">IF(E19="","",IF(E19&gt;=150,"Yes","No"))</f>
        <v/>
      </c>
      <c r="I19" s="13" t="str">
        <f aca="false">IF(E19="","",IF(H19="Yes",E19*G19,0))</f>
        <v/>
      </c>
      <c r="J19" s="13" t="str">
        <f aca="false">IF(E19="","",E19-I19)</f>
        <v/>
      </c>
      <c r="K19" s="6"/>
      <c r="L19" s="6"/>
    </row>
    <row r="20" customFormat="false" ht="15" hidden="false" customHeight="false" outlineLevel="0" collapsed="false">
      <c r="A20" s="11"/>
      <c r="B20" s="6"/>
      <c r="C20" s="12" t="str">
        <f aca="false">IF(B20="","",IFERROR(INDEX('Qualifier Registry'!$B$4:$B$103,MATCH(B20,'Qualifier Registry'!$A$4:$A$103,0)),"Not found"))</f>
        <v/>
      </c>
      <c r="D20" s="6"/>
      <c r="E20" s="13" t="str">
        <f aca="false">IF(D20="","",IFERROR(INDEX('Reference Tables'!$B$3:$B$8,MATCH(D20,'Reference Tables'!$A$3:$A$8,0)),"Invalid package"))</f>
        <v/>
      </c>
      <c r="F20" s="12" t="str">
        <f aca="false">IF(D20="","",IFERROR(INDEX('Reference Tables'!$C$3:$C$8,MATCH(D20,'Reference Tables'!$A$3:$A$8,0)),"Invalid package"))</f>
        <v/>
      </c>
      <c r="G20" s="14" t="str">
        <f aca="false">IF(E20="","",'Reference Tables'!$C$13)</f>
        <v/>
      </c>
      <c r="H20" s="12" t="str">
        <f aca="false">IF(E20="","",IF(E20&gt;=150,"Yes","No"))</f>
        <v/>
      </c>
      <c r="I20" s="13" t="str">
        <f aca="false">IF(E20="","",IF(H20="Yes",E20*G20,0))</f>
        <v/>
      </c>
      <c r="J20" s="13" t="str">
        <f aca="false">IF(E20="","",E20-I20)</f>
        <v/>
      </c>
      <c r="K20" s="6"/>
      <c r="L20" s="6"/>
    </row>
    <row r="21" customFormat="false" ht="15" hidden="false" customHeight="false" outlineLevel="0" collapsed="false">
      <c r="A21" s="11"/>
      <c r="B21" s="6"/>
      <c r="C21" s="12" t="str">
        <f aca="false">IF(B21="","",IFERROR(INDEX('Qualifier Registry'!$B$4:$B$103,MATCH(B21,'Qualifier Registry'!$A$4:$A$103,0)),"Not found"))</f>
        <v/>
      </c>
      <c r="D21" s="6"/>
      <c r="E21" s="13" t="str">
        <f aca="false">IF(D21="","",IFERROR(INDEX('Reference Tables'!$B$3:$B$8,MATCH(D21,'Reference Tables'!$A$3:$A$8,0)),"Invalid package"))</f>
        <v/>
      </c>
      <c r="F21" s="12" t="str">
        <f aca="false">IF(D21="","",IFERROR(INDEX('Reference Tables'!$C$3:$C$8,MATCH(D21,'Reference Tables'!$A$3:$A$8,0)),"Invalid package"))</f>
        <v/>
      </c>
      <c r="G21" s="14" t="str">
        <f aca="false">IF(E21="","",'Reference Tables'!$C$13)</f>
        <v/>
      </c>
      <c r="H21" s="12" t="str">
        <f aca="false">IF(E21="","",IF(E21&gt;=150,"Yes","No"))</f>
        <v/>
      </c>
      <c r="I21" s="13" t="str">
        <f aca="false">IF(E21="","",IF(H21="Yes",E21*G21,0))</f>
        <v/>
      </c>
      <c r="J21" s="13" t="str">
        <f aca="false">IF(E21="","",E21-I21)</f>
        <v/>
      </c>
      <c r="K21" s="6"/>
      <c r="L21" s="6"/>
    </row>
    <row r="22" customFormat="false" ht="15" hidden="false" customHeight="false" outlineLevel="0" collapsed="false">
      <c r="A22" s="11"/>
      <c r="B22" s="6"/>
      <c r="C22" s="12" t="str">
        <f aca="false">IF(B22="","",IFERROR(INDEX('Qualifier Registry'!$B$4:$B$103,MATCH(B22,'Qualifier Registry'!$A$4:$A$103,0)),"Not found"))</f>
        <v/>
      </c>
      <c r="D22" s="6"/>
      <c r="E22" s="13" t="str">
        <f aca="false">IF(D22="","",IFERROR(INDEX('Reference Tables'!$B$3:$B$8,MATCH(D22,'Reference Tables'!$A$3:$A$8,0)),"Invalid package"))</f>
        <v/>
      </c>
      <c r="F22" s="12" t="str">
        <f aca="false">IF(D22="","",IFERROR(INDEX('Reference Tables'!$C$3:$C$8,MATCH(D22,'Reference Tables'!$A$3:$A$8,0)),"Invalid package"))</f>
        <v/>
      </c>
      <c r="G22" s="14" t="str">
        <f aca="false">IF(E22="","",'Reference Tables'!$C$13)</f>
        <v/>
      </c>
      <c r="H22" s="12" t="str">
        <f aca="false">IF(E22="","",IF(E22&gt;=150,"Yes","No"))</f>
        <v/>
      </c>
      <c r="I22" s="13" t="str">
        <f aca="false">IF(E22="","",IF(H22="Yes",E22*G22,0))</f>
        <v/>
      </c>
      <c r="J22" s="13" t="str">
        <f aca="false">IF(E22="","",E22-I22)</f>
        <v/>
      </c>
      <c r="K22" s="6"/>
      <c r="L22" s="6"/>
    </row>
    <row r="23" customFormat="false" ht="15" hidden="false" customHeight="false" outlineLevel="0" collapsed="false">
      <c r="A23" s="11"/>
      <c r="B23" s="6"/>
      <c r="C23" s="12" t="str">
        <f aca="false">IF(B23="","",IFERROR(INDEX('Qualifier Registry'!$B$4:$B$103,MATCH(B23,'Qualifier Registry'!$A$4:$A$103,0)),"Not found"))</f>
        <v/>
      </c>
      <c r="D23" s="6"/>
      <c r="E23" s="13" t="str">
        <f aca="false">IF(D23="","",IFERROR(INDEX('Reference Tables'!$B$3:$B$8,MATCH(D23,'Reference Tables'!$A$3:$A$8,0)),"Invalid package"))</f>
        <v/>
      </c>
      <c r="F23" s="12" t="str">
        <f aca="false">IF(D23="","",IFERROR(INDEX('Reference Tables'!$C$3:$C$8,MATCH(D23,'Reference Tables'!$A$3:$A$8,0)),"Invalid package"))</f>
        <v/>
      </c>
      <c r="G23" s="14" t="str">
        <f aca="false">IF(E23="","",'Reference Tables'!$C$13)</f>
        <v/>
      </c>
      <c r="H23" s="12" t="str">
        <f aca="false">IF(E23="","",IF(E23&gt;=150,"Yes","No"))</f>
        <v/>
      </c>
      <c r="I23" s="13" t="str">
        <f aca="false">IF(E23="","",IF(H23="Yes",E23*G23,0))</f>
        <v/>
      </c>
      <c r="J23" s="13" t="str">
        <f aca="false">IF(E23="","",E23-I23)</f>
        <v/>
      </c>
      <c r="K23" s="6"/>
      <c r="L23" s="6"/>
    </row>
    <row r="24" customFormat="false" ht="15" hidden="false" customHeight="false" outlineLevel="0" collapsed="false">
      <c r="A24" s="11"/>
      <c r="B24" s="6"/>
      <c r="C24" s="12" t="str">
        <f aca="false">IF(B24="","",IFERROR(INDEX('Qualifier Registry'!$B$4:$B$103,MATCH(B24,'Qualifier Registry'!$A$4:$A$103,0)),"Not found"))</f>
        <v/>
      </c>
      <c r="D24" s="6"/>
      <c r="E24" s="13" t="str">
        <f aca="false">IF(D24="","",IFERROR(INDEX('Reference Tables'!$B$3:$B$8,MATCH(D24,'Reference Tables'!$A$3:$A$8,0)),"Invalid package"))</f>
        <v/>
      </c>
      <c r="F24" s="12" t="str">
        <f aca="false">IF(D24="","",IFERROR(INDEX('Reference Tables'!$C$3:$C$8,MATCH(D24,'Reference Tables'!$A$3:$A$8,0)),"Invalid package"))</f>
        <v/>
      </c>
      <c r="G24" s="14" t="str">
        <f aca="false">IF(E24="","",'Reference Tables'!$C$13)</f>
        <v/>
      </c>
      <c r="H24" s="12" t="str">
        <f aca="false">IF(E24="","",IF(E24&gt;=150,"Yes","No"))</f>
        <v/>
      </c>
      <c r="I24" s="13" t="str">
        <f aca="false">IF(E24="","",IF(H24="Yes",E24*G24,0))</f>
        <v/>
      </c>
      <c r="J24" s="13" t="str">
        <f aca="false">IF(E24="","",E24-I24)</f>
        <v/>
      </c>
      <c r="K24" s="6"/>
      <c r="L24" s="6"/>
    </row>
    <row r="25" customFormat="false" ht="15" hidden="false" customHeight="false" outlineLevel="0" collapsed="false">
      <c r="A25" s="11"/>
      <c r="B25" s="6"/>
      <c r="C25" s="12" t="str">
        <f aca="false">IF(B25="","",IFERROR(INDEX('Qualifier Registry'!$B$4:$B$103,MATCH(B25,'Qualifier Registry'!$A$4:$A$103,0)),"Not found"))</f>
        <v/>
      </c>
      <c r="D25" s="6"/>
      <c r="E25" s="13" t="str">
        <f aca="false">IF(D25="","",IFERROR(INDEX('Reference Tables'!$B$3:$B$8,MATCH(D25,'Reference Tables'!$A$3:$A$8,0)),"Invalid package"))</f>
        <v/>
      </c>
      <c r="F25" s="12" t="str">
        <f aca="false">IF(D25="","",IFERROR(INDEX('Reference Tables'!$C$3:$C$8,MATCH(D25,'Reference Tables'!$A$3:$A$8,0)),"Invalid package"))</f>
        <v/>
      </c>
      <c r="G25" s="14" t="str">
        <f aca="false">IF(E25="","",'Reference Tables'!$C$13)</f>
        <v/>
      </c>
      <c r="H25" s="12" t="str">
        <f aca="false">IF(E25="","",IF(E25&gt;=150,"Yes","No"))</f>
        <v/>
      </c>
      <c r="I25" s="13" t="str">
        <f aca="false">IF(E25="","",IF(H25="Yes",E25*G25,0))</f>
        <v/>
      </c>
      <c r="J25" s="13" t="str">
        <f aca="false">IF(E25="","",E25-I25)</f>
        <v/>
      </c>
      <c r="K25" s="6"/>
      <c r="L25" s="6"/>
    </row>
    <row r="26" customFormat="false" ht="15" hidden="false" customHeight="false" outlineLevel="0" collapsed="false">
      <c r="A26" s="11"/>
      <c r="B26" s="6"/>
      <c r="C26" s="12" t="str">
        <f aca="false">IF(B26="","",IFERROR(INDEX('Qualifier Registry'!$B$4:$B$103,MATCH(B26,'Qualifier Registry'!$A$4:$A$103,0)),"Not found"))</f>
        <v/>
      </c>
      <c r="D26" s="6"/>
      <c r="E26" s="13" t="str">
        <f aca="false">IF(D26="","",IFERROR(INDEX('Reference Tables'!$B$3:$B$8,MATCH(D26,'Reference Tables'!$A$3:$A$8,0)),"Invalid package"))</f>
        <v/>
      </c>
      <c r="F26" s="12" t="str">
        <f aca="false">IF(D26="","",IFERROR(INDEX('Reference Tables'!$C$3:$C$8,MATCH(D26,'Reference Tables'!$A$3:$A$8,0)),"Invalid package"))</f>
        <v/>
      </c>
      <c r="G26" s="14" t="str">
        <f aca="false">IF(E26="","",'Reference Tables'!$C$13)</f>
        <v/>
      </c>
      <c r="H26" s="12" t="str">
        <f aca="false">IF(E26="","",IF(E26&gt;=150,"Yes","No"))</f>
        <v/>
      </c>
      <c r="I26" s="13" t="str">
        <f aca="false">IF(E26="","",IF(H26="Yes",E26*G26,0))</f>
        <v/>
      </c>
      <c r="J26" s="13" t="str">
        <f aca="false">IF(E26="","",E26-I26)</f>
        <v/>
      </c>
      <c r="K26" s="6"/>
      <c r="L26" s="6"/>
    </row>
    <row r="27" customFormat="false" ht="15" hidden="false" customHeight="false" outlineLevel="0" collapsed="false">
      <c r="A27" s="11"/>
      <c r="B27" s="6"/>
      <c r="C27" s="12" t="str">
        <f aca="false">IF(B27="","",IFERROR(INDEX('Qualifier Registry'!$B$4:$B$103,MATCH(B27,'Qualifier Registry'!$A$4:$A$103,0)),"Not found"))</f>
        <v/>
      </c>
      <c r="D27" s="6"/>
      <c r="E27" s="13" t="str">
        <f aca="false">IF(D27="","",IFERROR(INDEX('Reference Tables'!$B$3:$B$8,MATCH(D27,'Reference Tables'!$A$3:$A$8,0)),"Invalid package"))</f>
        <v/>
      </c>
      <c r="F27" s="12" t="str">
        <f aca="false">IF(D27="","",IFERROR(INDEX('Reference Tables'!$C$3:$C$8,MATCH(D27,'Reference Tables'!$A$3:$A$8,0)),"Invalid package"))</f>
        <v/>
      </c>
      <c r="G27" s="14" t="str">
        <f aca="false">IF(E27="","",'Reference Tables'!$C$13)</f>
        <v/>
      </c>
      <c r="H27" s="12" t="str">
        <f aca="false">IF(E27="","",IF(E27&gt;=150,"Yes","No"))</f>
        <v/>
      </c>
      <c r="I27" s="13" t="str">
        <f aca="false">IF(E27="","",IF(H27="Yes",E27*G27,0))</f>
        <v/>
      </c>
      <c r="J27" s="13" t="str">
        <f aca="false">IF(E27="","",E27-I27)</f>
        <v/>
      </c>
      <c r="K27" s="6"/>
      <c r="L27" s="6"/>
    </row>
    <row r="28" customFormat="false" ht="15" hidden="false" customHeight="false" outlineLevel="0" collapsed="false">
      <c r="A28" s="11"/>
      <c r="B28" s="6"/>
      <c r="C28" s="12" t="str">
        <f aca="false">IF(B28="","",IFERROR(INDEX('Qualifier Registry'!$B$4:$B$103,MATCH(B28,'Qualifier Registry'!$A$4:$A$103,0)),"Not found"))</f>
        <v/>
      </c>
      <c r="D28" s="6"/>
      <c r="E28" s="13" t="str">
        <f aca="false">IF(D28="","",IFERROR(INDEX('Reference Tables'!$B$3:$B$8,MATCH(D28,'Reference Tables'!$A$3:$A$8,0)),"Invalid package"))</f>
        <v/>
      </c>
      <c r="F28" s="12" t="str">
        <f aca="false">IF(D28="","",IFERROR(INDEX('Reference Tables'!$C$3:$C$8,MATCH(D28,'Reference Tables'!$A$3:$A$8,0)),"Invalid package"))</f>
        <v/>
      </c>
      <c r="G28" s="14" t="str">
        <f aca="false">IF(E28="","",'Reference Tables'!$C$13)</f>
        <v/>
      </c>
      <c r="H28" s="12" t="str">
        <f aca="false">IF(E28="","",IF(E28&gt;=150,"Yes","No"))</f>
        <v/>
      </c>
      <c r="I28" s="13" t="str">
        <f aca="false">IF(E28="","",IF(H28="Yes",E28*G28,0))</f>
        <v/>
      </c>
      <c r="J28" s="13" t="str">
        <f aca="false">IF(E28="","",E28-I28)</f>
        <v/>
      </c>
      <c r="K28" s="6"/>
      <c r="L28" s="6"/>
    </row>
    <row r="29" customFormat="false" ht="15" hidden="false" customHeight="false" outlineLevel="0" collapsed="false">
      <c r="A29" s="11"/>
      <c r="B29" s="6"/>
      <c r="C29" s="12" t="str">
        <f aca="false">IF(B29="","",IFERROR(INDEX('Qualifier Registry'!$B$4:$B$103,MATCH(B29,'Qualifier Registry'!$A$4:$A$103,0)),"Not found"))</f>
        <v/>
      </c>
      <c r="D29" s="6"/>
      <c r="E29" s="13" t="str">
        <f aca="false">IF(D29="","",IFERROR(INDEX('Reference Tables'!$B$3:$B$8,MATCH(D29,'Reference Tables'!$A$3:$A$8,0)),"Invalid package"))</f>
        <v/>
      </c>
      <c r="F29" s="12" t="str">
        <f aca="false">IF(D29="","",IFERROR(INDEX('Reference Tables'!$C$3:$C$8,MATCH(D29,'Reference Tables'!$A$3:$A$8,0)),"Invalid package"))</f>
        <v/>
      </c>
      <c r="G29" s="14" t="str">
        <f aca="false">IF(E29="","",'Reference Tables'!$C$13)</f>
        <v/>
      </c>
      <c r="H29" s="12" t="str">
        <f aca="false">IF(E29="","",IF(E29&gt;=150,"Yes","No"))</f>
        <v/>
      </c>
      <c r="I29" s="13" t="str">
        <f aca="false">IF(E29="","",IF(H29="Yes",E29*G29,0))</f>
        <v/>
      </c>
      <c r="J29" s="13" t="str">
        <f aca="false">IF(E29="","",E29-I29)</f>
        <v/>
      </c>
      <c r="K29" s="6"/>
      <c r="L29" s="6"/>
    </row>
    <row r="30" customFormat="false" ht="15" hidden="false" customHeight="false" outlineLevel="0" collapsed="false">
      <c r="A30" s="11"/>
      <c r="B30" s="6"/>
      <c r="C30" s="12" t="str">
        <f aca="false">IF(B30="","",IFERROR(INDEX('Qualifier Registry'!$B$4:$B$103,MATCH(B30,'Qualifier Registry'!$A$4:$A$103,0)),"Not found"))</f>
        <v/>
      </c>
      <c r="D30" s="6"/>
      <c r="E30" s="13" t="str">
        <f aca="false">IF(D30="","",IFERROR(INDEX('Reference Tables'!$B$3:$B$8,MATCH(D30,'Reference Tables'!$A$3:$A$8,0)),"Invalid package"))</f>
        <v/>
      </c>
      <c r="F30" s="12" t="str">
        <f aca="false">IF(D30="","",IFERROR(INDEX('Reference Tables'!$C$3:$C$8,MATCH(D30,'Reference Tables'!$A$3:$A$8,0)),"Invalid package"))</f>
        <v/>
      </c>
      <c r="G30" s="14" t="str">
        <f aca="false">IF(E30="","",'Reference Tables'!$C$13)</f>
        <v/>
      </c>
      <c r="H30" s="12" t="str">
        <f aca="false">IF(E30="","",IF(E30&gt;=150,"Yes","No"))</f>
        <v/>
      </c>
      <c r="I30" s="13" t="str">
        <f aca="false">IF(E30="","",IF(H30="Yes",E30*G30,0))</f>
        <v/>
      </c>
      <c r="J30" s="13" t="str">
        <f aca="false">IF(E30="","",E30-I30)</f>
        <v/>
      </c>
      <c r="K30" s="6"/>
      <c r="L30" s="6"/>
    </row>
    <row r="31" customFormat="false" ht="15" hidden="false" customHeight="false" outlineLevel="0" collapsed="false">
      <c r="A31" s="11"/>
      <c r="B31" s="6"/>
      <c r="C31" s="12" t="str">
        <f aca="false">IF(B31="","",IFERROR(INDEX('Qualifier Registry'!$B$4:$B$103,MATCH(B31,'Qualifier Registry'!$A$4:$A$103,0)),"Not found"))</f>
        <v/>
      </c>
      <c r="D31" s="6"/>
      <c r="E31" s="13" t="str">
        <f aca="false">IF(D31="","",IFERROR(INDEX('Reference Tables'!$B$3:$B$8,MATCH(D31,'Reference Tables'!$A$3:$A$8,0)),"Invalid package"))</f>
        <v/>
      </c>
      <c r="F31" s="12" t="str">
        <f aca="false">IF(D31="","",IFERROR(INDEX('Reference Tables'!$C$3:$C$8,MATCH(D31,'Reference Tables'!$A$3:$A$8,0)),"Invalid package"))</f>
        <v/>
      </c>
      <c r="G31" s="14" t="str">
        <f aca="false">IF(E31="","",'Reference Tables'!$C$13)</f>
        <v/>
      </c>
      <c r="H31" s="12" t="str">
        <f aca="false">IF(E31="","",IF(E31&gt;=150,"Yes","No"))</f>
        <v/>
      </c>
      <c r="I31" s="13" t="str">
        <f aca="false">IF(E31="","",IF(H31="Yes",E31*G31,0))</f>
        <v/>
      </c>
      <c r="J31" s="13" t="str">
        <f aca="false">IF(E31="","",E31-I31)</f>
        <v/>
      </c>
      <c r="K31" s="6"/>
      <c r="L31" s="6"/>
    </row>
    <row r="32" customFormat="false" ht="15" hidden="false" customHeight="false" outlineLevel="0" collapsed="false">
      <c r="A32" s="11"/>
      <c r="B32" s="6"/>
      <c r="C32" s="12" t="str">
        <f aca="false">IF(B32="","",IFERROR(INDEX('Qualifier Registry'!$B$4:$B$103,MATCH(B32,'Qualifier Registry'!$A$4:$A$103,0)),"Not found"))</f>
        <v/>
      </c>
      <c r="D32" s="6"/>
      <c r="E32" s="13" t="str">
        <f aca="false">IF(D32="","",IFERROR(INDEX('Reference Tables'!$B$3:$B$8,MATCH(D32,'Reference Tables'!$A$3:$A$8,0)),"Invalid package"))</f>
        <v/>
      </c>
      <c r="F32" s="12" t="str">
        <f aca="false">IF(D32="","",IFERROR(INDEX('Reference Tables'!$C$3:$C$8,MATCH(D32,'Reference Tables'!$A$3:$A$8,0)),"Invalid package"))</f>
        <v/>
      </c>
      <c r="G32" s="14" t="str">
        <f aca="false">IF(E32="","",'Reference Tables'!$C$13)</f>
        <v/>
      </c>
      <c r="H32" s="12" t="str">
        <f aca="false">IF(E32="","",IF(E32&gt;=150,"Yes","No"))</f>
        <v/>
      </c>
      <c r="I32" s="13" t="str">
        <f aca="false">IF(E32="","",IF(H32="Yes",E32*G32,0))</f>
        <v/>
      </c>
      <c r="J32" s="13" t="str">
        <f aca="false">IF(E32="","",E32-I32)</f>
        <v/>
      </c>
      <c r="K32" s="6"/>
      <c r="L32" s="6"/>
    </row>
    <row r="33" customFormat="false" ht="15" hidden="false" customHeight="false" outlineLevel="0" collapsed="false">
      <c r="A33" s="11"/>
      <c r="B33" s="6"/>
      <c r="C33" s="12" t="str">
        <f aca="false">IF(B33="","",IFERROR(INDEX('Qualifier Registry'!$B$4:$B$103,MATCH(B33,'Qualifier Registry'!$A$4:$A$103,0)),"Not found"))</f>
        <v/>
      </c>
      <c r="D33" s="6"/>
      <c r="E33" s="13" t="str">
        <f aca="false">IF(D33="","",IFERROR(INDEX('Reference Tables'!$B$3:$B$8,MATCH(D33,'Reference Tables'!$A$3:$A$8,0)),"Invalid package"))</f>
        <v/>
      </c>
      <c r="F33" s="12" t="str">
        <f aca="false">IF(D33="","",IFERROR(INDEX('Reference Tables'!$C$3:$C$8,MATCH(D33,'Reference Tables'!$A$3:$A$8,0)),"Invalid package"))</f>
        <v/>
      </c>
      <c r="G33" s="14" t="str">
        <f aca="false">IF(E33="","",'Reference Tables'!$C$13)</f>
        <v/>
      </c>
      <c r="H33" s="12" t="str">
        <f aca="false">IF(E33="","",IF(E33&gt;=150,"Yes","No"))</f>
        <v/>
      </c>
      <c r="I33" s="13" t="str">
        <f aca="false">IF(E33="","",IF(H33="Yes",E33*G33,0))</f>
        <v/>
      </c>
      <c r="J33" s="13" t="str">
        <f aca="false">IF(E33="","",E33-I33)</f>
        <v/>
      </c>
      <c r="K33" s="6"/>
      <c r="L33" s="6"/>
    </row>
    <row r="34" customFormat="false" ht="15" hidden="false" customHeight="false" outlineLevel="0" collapsed="false">
      <c r="A34" s="11"/>
      <c r="B34" s="6"/>
      <c r="C34" s="12" t="str">
        <f aca="false">IF(B34="","",IFERROR(INDEX('Qualifier Registry'!$B$4:$B$103,MATCH(B34,'Qualifier Registry'!$A$4:$A$103,0)),"Not found"))</f>
        <v/>
      </c>
      <c r="D34" s="6"/>
      <c r="E34" s="13" t="str">
        <f aca="false">IF(D34="","",IFERROR(INDEX('Reference Tables'!$B$3:$B$8,MATCH(D34,'Reference Tables'!$A$3:$A$8,0)),"Invalid package"))</f>
        <v/>
      </c>
      <c r="F34" s="12" t="str">
        <f aca="false">IF(D34="","",IFERROR(INDEX('Reference Tables'!$C$3:$C$8,MATCH(D34,'Reference Tables'!$A$3:$A$8,0)),"Invalid package"))</f>
        <v/>
      </c>
      <c r="G34" s="14" t="str">
        <f aca="false">IF(E34="","",'Reference Tables'!$C$13)</f>
        <v/>
      </c>
      <c r="H34" s="12" t="str">
        <f aca="false">IF(E34="","",IF(E34&gt;=150,"Yes","No"))</f>
        <v/>
      </c>
      <c r="I34" s="13" t="str">
        <f aca="false">IF(E34="","",IF(H34="Yes",E34*G34,0))</f>
        <v/>
      </c>
      <c r="J34" s="13" t="str">
        <f aca="false">IF(E34="","",E34-I34)</f>
        <v/>
      </c>
      <c r="K34" s="6"/>
      <c r="L34" s="6"/>
    </row>
    <row r="35" customFormat="false" ht="15" hidden="false" customHeight="false" outlineLevel="0" collapsed="false">
      <c r="A35" s="11"/>
      <c r="B35" s="6"/>
      <c r="C35" s="12" t="str">
        <f aca="false">IF(B35="","",IFERROR(INDEX('Qualifier Registry'!$B$4:$B$103,MATCH(B35,'Qualifier Registry'!$A$4:$A$103,0)),"Not found"))</f>
        <v/>
      </c>
      <c r="D35" s="6"/>
      <c r="E35" s="13" t="str">
        <f aca="false">IF(D35="","",IFERROR(INDEX('Reference Tables'!$B$3:$B$8,MATCH(D35,'Reference Tables'!$A$3:$A$8,0)),"Invalid package"))</f>
        <v/>
      </c>
      <c r="F35" s="12" t="str">
        <f aca="false">IF(D35="","",IFERROR(INDEX('Reference Tables'!$C$3:$C$8,MATCH(D35,'Reference Tables'!$A$3:$A$8,0)),"Invalid package"))</f>
        <v/>
      </c>
      <c r="G35" s="14" t="str">
        <f aca="false">IF(E35="","",'Reference Tables'!$C$13)</f>
        <v/>
      </c>
      <c r="H35" s="12" t="str">
        <f aca="false">IF(E35="","",IF(E35&gt;=150,"Yes","No"))</f>
        <v/>
      </c>
      <c r="I35" s="13" t="str">
        <f aca="false">IF(E35="","",IF(H35="Yes",E35*G35,0))</f>
        <v/>
      </c>
      <c r="J35" s="13" t="str">
        <f aca="false">IF(E35="","",E35-I35)</f>
        <v/>
      </c>
      <c r="K35" s="6"/>
      <c r="L35" s="6"/>
    </row>
    <row r="36" customFormat="false" ht="15" hidden="false" customHeight="false" outlineLevel="0" collapsed="false">
      <c r="A36" s="11"/>
      <c r="B36" s="6"/>
      <c r="C36" s="12" t="str">
        <f aca="false">IF(B36="","",IFERROR(INDEX('Qualifier Registry'!$B$4:$B$103,MATCH(B36,'Qualifier Registry'!$A$4:$A$103,0)),"Not found"))</f>
        <v/>
      </c>
      <c r="D36" s="6"/>
      <c r="E36" s="13" t="str">
        <f aca="false">IF(D36="","",IFERROR(INDEX('Reference Tables'!$B$3:$B$8,MATCH(D36,'Reference Tables'!$A$3:$A$8,0)),"Invalid package"))</f>
        <v/>
      </c>
      <c r="F36" s="12" t="str">
        <f aca="false">IF(D36="","",IFERROR(INDEX('Reference Tables'!$C$3:$C$8,MATCH(D36,'Reference Tables'!$A$3:$A$8,0)),"Invalid package"))</f>
        <v/>
      </c>
      <c r="G36" s="14" t="str">
        <f aca="false">IF(E36="","",'Reference Tables'!$C$13)</f>
        <v/>
      </c>
      <c r="H36" s="12" t="str">
        <f aca="false">IF(E36="","",IF(E36&gt;=150,"Yes","No"))</f>
        <v/>
      </c>
      <c r="I36" s="13" t="str">
        <f aca="false">IF(E36="","",IF(H36="Yes",E36*G36,0))</f>
        <v/>
      </c>
      <c r="J36" s="13" t="str">
        <f aca="false">IF(E36="","",E36-I36)</f>
        <v/>
      </c>
      <c r="K36" s="6"/>
      <c r="L36" s="6"/>
    </row>
    <row r="37" customFormat="false" ht="15" hidden="false" customHeight="false" outlineLevel="0" collapsed="false">
      <c r="A37" s="11"/>
      <c r="B37" s="6"/>
      <c r="C37" s="12" t="str">
        <f aca="false">IF(B37="","",IFERROR(INDEX('Qualifier Registry'!$B$4:$B$103,MATCH(B37,'Qualifier Registry'!$A$4:$A$103,0)),"Not found"))</f>
        <v/>
      </c>
      <c r="D37" s="6"/>
      <c r="E37" s="13" t="str">
        <f aca="false">IF(D37="","",IFERROR(INDEX('Reference Tables'!$B$3:$B$8,MATCH(D37,'Reference Tables'!$A$3:$A$8,0)),"Invalid package"))</f>
        <v/>
      </c>
      <c r="F37" s="12" t="str">
        <f aca="false">IF(D37="","",IFERROR(INDEX('Reference Tables'!$C$3:$C$8,MATCH(D37,'Reference Tables'!$A$3:$A$8,0)),"Invalid package"))</f>
        <v/>
      </c>
      <c r="G37" s="14" t="str">
        <f aca="false">IF(E37="","",'Reference Tables'!$C$13)</f>
        <v/>
      </c>
      <c r="H37" s="12" t="str">
        <f aca="false">IF(E37="","",IF(E37&gt;=150,"Yes","No"))</f>
        <v/>
      </c>
      <c r="I37" s="13" t="str">
        <f aca="false">IF(E37="","",IF(H37="Yes",E37*G37,0))</f>
        <v/>
      </c>
      <c r="J37" s="13" t="str">
        <f aca="false">IF(E37="","",E37-I37)</f>
        <v/>
      </c>
      <c r="K37" s="6"/>
      <c r="L37" s="6"/>
    </row>
    <row r="38" customFormat="false" ht="15" hidden="false" customHeight="false" outlineLevel="0" collapsed="false">
      <c r="A38" s="11"/>
      <c r="B38" s="6"/>
      <c r="C38" s="12" t="str">
        <f aca="false">IF(B38="","",IFERROR(INDEX('Qualifier Registry'!$B$4:$B$103,MATCH(B38,'Qualifier Registry'!$A$4:$A$103,0)),"Not found"))</f>
        <v/>
      </c>
      <c r="D38" s="6"/>
      <c r="E38" s="13" t="str">
        <f aca="false">IF(D38="","",IFERROR(INDEX('Reference Tables'!$B$3:$B$8,MATCH(D38,'Reference Tables'!$A$3:$A$8,0)),"Invalid package"))</f>
        <v/>
      </c>
      <c r="F38" s="12" t="str">
        <f aca="false">IF(D38="","",IFERROR(INDEX('Reference Tables'!$C$3:$C$8,MATCH(D38,'Reference Tables'!$A$3:$A$8,0)),"Invalid package"))</f>
        <v/>
      </c>
      <c r="G38" s="14" t="str">
        <f aca="false">IF(E38="","",'Reference Tables'!$C$13)</f>
        <v/>
      </c>
      <c r="H38" s="12" t="str">
        <f aca="false">IF(E38="","",IF(E38&gt;=150,"Yes","No"))</f>
        <v/>
      </c>
      <c r="I38" s="13" t="str">
        <f aca="false">IF(E38="","",IF(H38="Yes",E38*G38,0))</f>
        <v/>
      </c>
      <c r="J38" s="13" t="str">
        <f aca="false">IF(E38="","",E38-I38)</f>
        <v/>
      </c>
      <c r="K38" s="6"/>
      <c r="L38" s="6"/>
    </row>
    <row r="39" customFormat="false" ht="15" hidden="false" customHeight="false" outlineLevel="0" collapsed="false">
      <c r="A39" s="11"/>
      <c r="B39" s="6"/>
      <c r="C39" s="12" t="str">
        <f aca="false">IF(B39="","",IFERROR(INDEX('Qualifier Registry'!$B$4:$B$103,MATCH(B39,'Qualifier Registry'!$A$4:$A$103,0)),"Not found"))</f>
        <v/>
      </c>
      <c r="D39" s="6"/>
      <c r="E39" s="13" t="str">
        <f aca="false">IF(D39="","",IFERROR(INDEX('Reference Tables'!$B$3:$B$8,MATCH(D39,'Reference Tables'!$A$3:$A$8,0)),"Invalid package"))</f>
        <v/>
      </c>
      <c r="F39" s="12" t="str">
        <f aca="false">IF(D39="","",IFERROR(INDEX('Reference Tables'!$C$3:$C$8,MATCH(D39,'Reference Tables'!$A$3:$A$8,0)),"Invalid package"))</f>
        <v/>
      </c>
      <c r="G39" s="14" t="str">
        <f aca="false">IF(E39="","",'Reference Tables'!$C$13)</f>
        <v/>
      </c>
      <c r="H39" s="12" t="str">
        <f aca="false">IF(E39="","",IF(E39&gt;=150,"Yes","No"))</f>
        <v/>
      </c>
      <c r="I39" s="13" t="str">
        <f aca="false">IF(E39="","",IF(H39="Yes",E39*G39,0))</f>
        <v/>
      </c>
      <c r="J39" s="13" t="str">
        <f aca="false">IF(E39="","",E39-I39)</f>
        <v/>
      </c>
      <c r="K39" s="6"/>
      <c r="L39" s="6"/>
    </row>
    <row r="40" customFormat="false" ht="15" hidden="false" customHeight="false" outlineLevel="0" collapsed="false">
      <c r="A40" s="11"/>
      <c r="B40" s="6"/>
      <c r="C40" s="12" t="str">
        <f aca="false">IF(B40="","",IFERROR(INDEX('Qualifier Registry'!$B$4:$B$103,MATCH(B40,'Qualifier Registry'!$A$4:$A$103,0)),"Not found"))</f>
        <v/>
      </c>
      <c r="D40" s="6"/>
      <c r="E40" s="13" t="str">
        <f aca="false">IF(D40="","",IFERROR(INDEX('Reference Tables'!$B$3:$B$8,MATCH(D40,'Reference Tables'!$A$3:$A$8,0)),"Invalid package"))</f>
        <v/>
      </c>
      <c r="F40" s="12" t="str">
        <f aca="false">IF(D40="","",IFERROR(INDEX('Reference Tables'!$C$3:$C$8,MATCH(D40,'Reference Tables'!$A$3:$A$8,0)),"Invalid package"))</f>
        <v/>
      </c>
      <c r="G40" s="14" t="str">
        <f aca="false">IF(E40="","",'Reference Tables'!$C$13)</f>
        <v/>
      </c>
      <c r="H40" s="12" t="str">
        <f aca="false">IF(E40="","",IF(E40&gt;=150,"Yes","No"))</f>
        <v/>
      </c>
      <c r="I40" s="13" t="str">
        <f aca="false">IF(E40="","",IF(H40="Yes",E40*G40,0))</f>
        <v/>
      </c>
      <c r="J40" s="13" t="str">
        <f aca="false">IF(E40="","",E40-I40)</f>
        <v/>
      </c>
      <c r="K40" s="6"/>
      <c r="L40" s="6"/>
    </row>
    <row r="41" customFormat="false" ht="15" hidden="false" customHeight="false" outlineLevel="0" collapsed="false">
      <c r="A41" s="11"/>
      <c r="B41" s="6"/>
      <c r="C41" s="12" t="str">
        <f aca="false">IF(B41="","",IFERROR(INDEX('Qualifier Registry'!$B$4:$B$103,MATCH(B41,'Qualifier Registry'!$A$4:$A$103,0)),"Not found"))</f>
        <v/>
      </c>
      <c r="D41" s="6"/>
      <c r="E41" s="13" t="str">
        <f aca="false">IF(D41="","",IFERROR(INDEX('Reference Tables'!$B$3:$B$8,MATCH(D41,'Reference Tables'!$A$3:$A$8,0)),"Invalid package"))</f>
        <v/>
      </c>
      <c r="F41" s="12" t="str">
        <f aca="false">IF(D41="","",IFERROR(INDEX('Reference Tables'!$C$3:$C$8,MATCH(D41,'Reference Tables'!$A$3:$A$8,0)),"Invalid package"))</f>
        <v/>
      </c>
      <c r="G41" s="14" t="str">
        <f aca="false">IF(E41="","",'Reference Tables'!$C$13)</f>
        <v/>
      </c>
      <c r="H41" s="12" t="str">
        <f aca="false">IF(E41="","",IF(E41&gt;=150,"Yes","No"))</f>
        <v/>
      </c>
      <c r="I41" s="13" t="str">
        <f aca="false">IF(E41="","",IF(H41="Yes",E41*G41,0))</f>
        <v/>
      </c>
      <c r="J41" s="13" t="str">
        <f aca="false">IF(E41="","",E41-I41)</f>
        <v/>
      </c>
      <c r="K41" s="6"/>
      <c r="L41" s="6"/>
    </row>
    <row r="42" customFormat="false" ht="15" hidden="false" customHeight="false" outlineLevel="0" collapsed="false">
      <c r="A42" s="11"/>
      <c r="B42" s="6"/>
      <c r="C42" s="12" t="str">
        <f aca="false">IF(B42="","",IFERROR(INDEX('Qualifier Registry'!$B$4:$B$103,MATCH(B42,'Qualifier Registry'!$A$4:$A$103,0)),"Not found"))</f>
        <v/>
      </c>
      <c r="D42" s="6"/>
      <c r="E42" s="13" t="str">
        <f aca="false">IF(D42="","",IFERROR(INDEX('Reference Tables'!$B$3:$B$8,MATCH(D42,'Reference Tables'!$A$3:$A$8,0)),"Invalid package"))</f>
        <v/>
      </c>
      <c r="F42" s="12" t="str">
        <f aca="false">IF(D42="","",IFERROR(INDEX('Reference Tables'!$C$3:$C$8,MATCH(D42,'Reference Tables'!$A$3:$A$8,0)),"Invalid package"))</f>
        <v/>
      </c>
      <c r="G42" s="14" t="str">
        <f aca="false">IF(E42="","",'Reference Tables'!$C$13)</f>
        <v/>
      </c>
      <c r="H42" s="12" t="str">
        <f aca="false">IF(E42="","",IF(E42&gt;=150,"Yes","No"))</f>
        <v/>
      </c>
      <c r="I42" s="13" t="str">
        <f aca="false">IF(E42="","",IF(H42="Yes",E42*G42,0))</f>
        <v/>
      </c>
      <c r="J42" s="13" t="str">
        <f aca="false">IF(E42="","",E42-I42)</f>
        <v/>
      </c>
      <c r="K42" s="6"/>
      <c r="L42" s="6"/>
    </row>
    <row r="43" customFormat="false" ht="15" hidden="false" customHeight="false" outlineLevel="0" collapsed="false">
      <c r="A43" s="11"/>
      <c r="B43" s="6"/>
      <c r="C43" s="12" t="str">
        <f aca="false">IF(B43="","",IFERROR(INDEX('Qualifier Registry'!$B$4:$B$103,MATCH(B43,'Qualifier Registry'!$A$4:$A$103,0)),"Not found"))</f>
        <v/>
      </c>
      <c r="D43" s="6"/>
      <c r="E43" s="13" t="str">
        <f aca="false">IF(D43="","",IFERROR(INDEX('Reference Tables'!$B$3:$B$8,MATCH(D43,'Reference Tables'!$A$3:$A$8,0)),"Invalid package"))</f>
        <v/>
      </c>
      <c r="F43" s="12" t="str">
        <f aca="false">IF(D43="","",IFERROR(INDEX('Reference Tables'!$C$3:$C$8,MATCH(D43,'Reference Tables'!$A$3:$A$8,0)),"Invalid package"))</f>
        <v/>
      </c>
      <c r="G43" s="14" t="str">
        <f aca="false">IF(E43="","",'Reference Tables'!$C$13)</f>
        <v/>
      </c>
      <c r="H43" s="12" t="str">
        <f aca="false">IF(E43="","",IF(E43&gt;=150,"Yes","No"))</f>
        <v/>
      </c>
      <c r="I43" s="13" t="str">
        <f aca="false">IF(E43="","",IF(H43="Yes",E43*G43,0))</f>
        <v/>
      </c>
      <c r="J43" s="13" t="str">
        <f aca="false">IF(E43="","",E43-I43)</f>
        <v/>
      </c>
      <c r="K43" s="6"/>
      <c r="L43" s="6"/>
    </row>
    <row r="44" customFormat="false" ht="15" hidden="false" customHeight="false" outlineLevel="0" collapsed="false">
      <c r="A44" s="11"/>
      <c r="B44" s="6"/>
      <c r="C44" s="12" t="str">
        <f aca="false">IF(B44="","",IFERROR(INDEX('Qualifier Registry'!$B$4:$B$103,MATCH(B44,'Qualifier Registry'!$A$4:$A$103,0)),"Not found"))</f>
        <v/>
      </c>
      <c r="D44" s="6"/>
      <c r="E44" s="13" t="str">
        <f aca="false">IF(D44="","",IFERROR(INDEX('Reference Tables'!$B$3:$B$8,MATCH(D44,'Reference Tables'!$A$3:$A$8,0)),"Invalid package"))</f>
        <v/>
      </c>
      <c r="F44" s="12" t="str">
        <f aca="false">IF(D44="","",IFERROR(INDEX('Reference Tables'!$C$3:$C$8,MATCH(D44,'Reference Tables'!$A$3:$A$8,0)),"Invalid package"))</f>
        <v/>
      </c>
      <c r="G44" s="14" t="str">
        <f aca="false">IF(E44="","",'Reference Tables'!$C$13)</f>
        <v/>
      </c>
      <c r="H44" s="12" t="str">
        <f aca="false">IF(E44="","",IF(E44&gt;=150,"Yes","No"))</f>
        <v/>
      </c>
      <c r="I44" s="13" t="str">
        <f aca="false">IF(E44="","",IF(H44="Yes",E44*G44,0))</f>
        <v/>
      </c>
      <c r="J44" s="13" t="str">
        <f aca="false">IF(E44="","",E44-I44)</f>
        <v/>
      </c>
      <c r="K44" s="6"/>
      <c r="L44" s="6"/>
    </row>
    <row r="45" customFormat="false" ht="15" hidden="false" customHeight="false" outlineLevel="0" collapsed="false">
      <c r="A45" s="11"/>
      <c r="B45" s="6"/>
      <c r="C45" s="12" t="str">
        <f aca="false">IF(B45="","",IFERROR(INDEX('Qualifier Registry'!$B$4:$B$103,MATCH(B45,'Qualifier Registry'!$A$4:$A$103,0)),"Not found"))</f>
        <v/>
      </c>
      <c r="D45" s="6"/>
      <c r="E45" s="13" t="str">
        <f aca="false">IF(D45="","",IFERROR(INDEX('Reference Tables'!$B$3:$B$8,MATCH(D45,'Reference Tables'!$A$3:$A$8,0)),"Invalid package"))</f>
        <v/>
      </c>
      <c r="F45" s="12" t="str">
        <f aca="false">IF(D45="","",IFERROR(INDEX('Reference Tables'!$C$3:$C$8,MATCH(D45,'Reference Tables'!$A$3:$A$8,0)),"Invalid package"))</f>
        <v/>
      </c>
      <c r="G45" s="14" t="str">
        <f aca="false">IF(E45="","",'Reference Tables'!$C$13)</f>
        <v/>
      </c>
      <c r="H45" s="12" t="str">
        <f aca="false">IF(E45="","",IF(E45&gt;=150,"Yes","No"))</f>
        <v/>
      </c>
      <c r="I45" s="13" t="str">
        <f aca="false">IF(E45="","",IF(H45="Yes",E45*G45,0))</f>
        <v/>
      </c>
      <c r="J45" s="13" t="str">
        <f aca="false">IF(E45="","",E45-I45)</f>
        <v/>
      </c>
      <c r="K45" s="6"/>
      <c r="L45" s="6"/>
    </row>
    <row r="46" customFormat="false" ht="15" hidden="false" customHeight="false" outlineLevel="0" collapsed="false">
      <c r="A46" s="11"/>
      <c r="B46" s="6"/>
      <c r="C46" s="12" t="str">
        <f aca="false">IF(B46="","",IFERROR(INDEX('Qualifier Registry'!$B$4:$B$103,MATCH(B46,'Qualifier Registry'!$A$4:$A$103,0)),"Not found"))</f>
        <v/>
      </c>
      <c r="D46" s="6"/>
      <c r="E46" s="13" t="str">
        <f aca="false">IF(D46="","",IFERROR(INDEX('Reference Tables'!$B$3:$B$8,MATCH(D46,'Reference Tables'!$A$3:$A$8,0)),"Invalid package"))</f>
        <v/>
      </c>
      <c r="F46" s="12" t="str">
        <f aca="false">IF(D46="","",IFERROR(INDEX('Reference Tables'!$C$3:$C$8,MATCH(D46,'Reference Tables'!$A$3:$A$8,0)),"Invalid package"))</f>
        <v/>
      </c>
      <c r="G46" s="14" t="str">
        <f aca="false">IF(E46="","",'Reference Tables'!$C$13)</f>
        <v/>
      </c>
      <c r="H46" s="12" t="str">
        <f aca="false">IF(E46="","",IF(E46&gt;=150,"Yes","No"))</f>
        <v/>
      </c>
      <c r="I46" s="13" t="str">
        <f aca="false">IF(E46="","",IF(H46="Yes",E46*G46,0))</f>
        <v/>
      </c>
      <c r="J46" s="13" t="str">
        <f aca="false">IF(E46="","",E46-I46)</f>
        <v/>
      </c>
      <c r="K46" s="6"/>
      <c r="L46" s="6"/>
    </row>
    <row r="47" customFormat="false" ht="15" hidden="false" customHeight="false" outlineLevel="0" collapsed="false">
      <c r="A47" s="11"/>
      <c r="B47" s="6"/>
      <c r="C47" s="12" t="str">
        <f aca="false">IF(B47="","",IFERROR(INDEX('Qualifier Registry'!$B$4:$B$103,MATCH(B47,'Qualifier Registry'!$A$4:$A$103,0)),"Not found"))</f>
        <v/>
      </c>
      <c r="D47" s="6"/>
      <c r="E47" s="13" t="str">
        <f aca="false">IF(D47="","",IFERROR(INDEX('Reference Tables'!$B$3:$B$8,MATCH(D47,'Reference Tables'!$A$3:$A$8,0)),"Invalid package"))</f>
        <v/>
      </c>
      <c r="F47" s="12" t="str">
        <f aca="false">IF(D47="","",IFERROR(INDEX('Reference Tables'!$C$3:$C$8,MATCH(D47,'Reference Tables'!$A$3:$A$8,0)),"Invalid package"))</f>
        <v/>
      </c>
      <c r="G47" s="14" t="str">
        <f aca="false">IF(E47="","",'Reference Tables'!$C$13)</f>
        <v/>
      </c>
      <c r="H47" s="12" t="str">
        <f aca="false">IF(E47="","",IF(E47&gt;=150,"Yes","No"))</f>
        <v/>
      </c>
      <c r="I47" s="13" t="str">
        <f aca="false">IF(E47="","",IF(H47="Yes",E47*G47,0))</f>
        <v/>
      </c>
      <c r="J47" s="13" t="str">
        <f aca="false">IF(E47="","",E47-I47)</f>
        <v/>
      </c>
      <c r="K47" s="6"/>
      <c r="L47" s="6"/>
    </row>
    <row r="48" customFormat="false" ht="15" hidden="false" customHeight="false" outlineLevel="0" collapsed="false">
      <c r="A48" s="11"/>
      <c r="B48" s="6"/>
      <c r="C48" s="12" t="str">
        <f aca="false">IF(B48="","",IFERROR(INDEX('Qualifier Registry'!$B$4:$B$103,MATCH(B48,'Qualifier Registry'!$A$4:$A$103,0)),"Not found"))</f>
        <v/>
      </c>
      <c r="D48" s="6"/>
      <c r="E48" s="13" t="str">
        <f aca="false">IF(D48="","",IFERROR(INDEX('Reference Tables'!$B$3:$B$8,MATCH(D48,'Reference Tables'!$A$3:$A$8,0)),"Invalid package"))</f>
        <v/>
      </c>
      <c r="F48" s="12" t="str">
        <f aca="false">IF(D48="","",IFERROR(INDEX('Reference Tables'!$C$3:$C$8,MATCH(D48,'Reference Tables'!$A$3:$A$8,0)),"Invalid package"))</f>
        <v/>
      </c>
      <c r="G48" s="14" t="str">
        <f aca="false">IF(E48="","",'Reference Tables'!$C$13)</f>
        <v/>
      </c>
      <c r="H48" s="12" t="str">
        <f aca="false">IF(E48="","",IF(E48&gt;=150,"Yes","No"))</f>
        <v/>
      </c>
      <c r="I48" s="13" t="str">
        <f aca="false">IF(E48="","",IF(H48="Yes",E48*G48,0))</f>
        <v/>
      </c>
      <c r="J48" s="13" t="str">
        <f aca="false">IF(E48="","",E48-I48)</f>
        <v/>
      </c>
      <c r="K48" s="6"/>
      <c r="L48" s="6"/>
    </row>
    <row r="49" customFormat="false" ht="15" hidden="false" customHeight="false" outlineLevel="0" collapsed="false">
      <c r="A49" s="11"/>
      <c r="B49" s="6"/>
      <c r="C49" s="12" t="str">
        <f aca="false">IF(B49="","",IFERROR(INDEX('Qualifier Registry'!$B$4:$B$103,MATCH(B49,'Qualifier Registry'!$A$4:$A$103,0)),"Not found"))</f>
        <v/>
      </c>
      <c r="D49" s="6"/>
      <c r="E49" s="13" t="str">
        <f aca="false">IF(D49="","",IFERROR(INDEX('Reference Tables'!$B$3:$B$8,MATCH(D49,'Reference Tables'!$A$3:$A$8,0)),"Invalid package"))</f>
        <v/>
      </c>
      <c r="F49" s="12" t="str">
        <f aca="false">IF(D49="","",IFERROR(INDEX('Reference Tables'!$C$3:$C$8,MATCH(D49,'Reference Tables'!$A$3:$A$8,0)),"Invalid package"))</f>
        <v/>
      </c>
      <c r="G49" s="14" t="str">
        <f aca="false">IF(E49="","",'Reference Tables'!$C$13)</f>
        <v/>
      </c>
      <c r="H49" s="12" t="str">
        <f aca="false">IF(E49="","",IF(E49&gt;=150,"Yes","No"))</f>
        <v/>
      </c>
      <c r="I49" s="13" t="str">
        <f aca="false">IF(E49="","",IF(H49="Yes",E49*G49,0))</f>
        <v/>
      </c>
      <c r="J49" s="13" t="str">
        <f aca="false">IF(E49="","",E49-I49)</f>
        <v/>
      </c>
      <c r="K49" s="6"/>
      <c r="L49" s="6"/>
    </row>
    <row r="50" customFormat="false" ht="15" hidden="false" customHeight="false" outlineLevel="0" collapsed="false">
      <c r="A50" s="11"/>
      <c r="B50" s="6"/>
      <c r="C50" s="12" t="str">
        <f aca="false">IF(B50="","",IFERROR(INDEX('Qualifier Registry'!$B$4:$B$103,MATCH(B50,'Qualifier Registry'!$A$4:$A$103,0)),"Not found"))</f>
        <v/>
      </c>
      <c r="D50" s="6"/>
      <c r="E50" s="13" t="str">
        <f aca="false">IF(D50="","",IFERROR(INDEX('Reference Tables'!$B$3:$B$8,MATCH(D50,'Reference Tables'!$A$3:$A$8,0)),"Invalid package"))</f>
        <v/>
      </c>
      <c r="F50" s="12" t="str">
        <f aca="false">IF(D50="","",IFERROR(INDEX('Reference Tables'!$C$3:$C$8,MATCH(D50,'Reference Tables'!$A$3:$A$8,0)),"Invalid package"))</f>
        <v/>
      </c>
      <c r="G50" s="14" t="str">
        <f aca="false">IF(E50="","",'Reference Tables'!$C$13)</f>
        <v/>
      </c>
      <c r="H50" s="12" t="str">
        <f aca="false">IF(E50="","",IF(E50&gt;=150,"Yes","No"))</f>
        <v/>
      </c>
      <c r="I50" s="13" t="str">
        <f aca="false">IF(E50="","",IF(H50="Yes",E50*G50,0))</f>
        <v/>
      </c>
      <c r="J50" s="13" t="str">
        <f aca="false">IF(E50="","",E50-I50)</f>
        <v/>
      </c>
      <c r="K50" s="6"/>
      <c r="L50" s="6"/>
    </row>
    <row r="51" customFormat="false" ht="15" hidden="false" customHeight="false" outlineLevel="0" collapsed="false">
      <c r="A51" s="11"/>
      <c r="B51" s="6"/>
      <c r="C51" s="12" t="str">
        <f aca="false">IF(B51="","",IFERROR(INDEX('Qualifier Registry'!$B$4:$B$103,MATCH(B51,'Qualifier Registry'!$A$4:$A$103,0)),"Not found"))</f>
        <v/>
      </c>
      <c r="D51" s="6"/>
      <c r="E51" s="13" t="str">
        <f aca="false">IF(D51="","",IFERROR(INDEX('Reference Tables'!$B$3:$B$8,MATCH(D51,'Reference Tables'!$A$3:$A$8,0)),"Invalid package"))</f>
        <v/>
      </c>
      <c r="F51" s="12" t="str">
        <f aca="false">IF(D51="","",IFERROR(INDEX('Reference Tables'!$C$3:$C$8,MATCH(D51,'Reference Tables'!$A$3:$A$8,0)),"Invalid package"))</f>
        <v/>
      </c>
      <c r="G51" s="14" t="str">
        <f aca="false">IF(E51="","",'Reference Tables'!$C$13)</f>
        <v/>
      </c>
      <c r="H51" s="12" t="str">
        <f aca="false">IF(E51="","",IF(E51&gt;=150,"Yes","No"))</f>
        <v/>
      </c>
      <c r="I51" s="13" t="str">
        <f aca="false">IF(E51="","",IF(H51="Yes",E51*G51,0))</f>
        <v/>
      </c>
      <c r="J51" s="13" t="str">
        <f aca="false">IF(E51="","",E51-I51)</f>
        <v/>
      </c>
      <c r="K51" s="6"/>
      <c r="L51" s="6"/>
    </row>
    <row r="52" customFormat="false" ht="15" hidden="false" customHeight="false" outlineLevel="0" collapsed="false">
      <c r="A52" s="11"/>
      <c r="B52" s="6"/>
      <c r="C52" s="12" t="str">
        <f aca="false">IF(B52="","",IFERROR(INDEX('Qualifier Registry'!$B$4:$B$103,MATCH(B52,'Qualifier Registry'!$A$4:$A$103,0)),"Not found"))</f>
        <v/>
      </c>
      <c r="D52" s="6"/>
      <c r="E52" s="13" t="str">
        <f aca="false">IF(D52="","",IFERROR(INDEX('Reference Tables'!$B$3:$B$8,MATCH(D52,'Reference Tables'!$A$3:$A$8,0)),"Invalid package"))</f>
        <v/>
      </c>
      <c r="F52" s="12" t="str">
        <f aca="false">IF(D52="","",IFERROR(INDEX('Reference Tables'!$C$3:$C$8,MATCH(D52,'Reference Tables'!$A$3:$A$8,0)),"Invalid package"))</f>
        <v/>
      </c>
      <c r="G52" s="14" t="str">
        <f aca="false">IF(E52="","",'Reference Tables'!$C$13)</f>
        <v/>
      </c>
      <c r="H52" s="12" t="str">
        <f aca="false">IF(E52="","",IF(E52&gt;=150,"Yes","No"))</f>
        <v/>
      </c>
      <c r="I52" s="13" t="str">
        <f aca="false">IF(E52="","",IF(H52="Yes",E52*G52,0))</f>
        <v/>
      </c>
      <c r="J52" s="13" t="str">
        <f aca="false">IF(E52="","",E52-I52)</f>
        <v/>
      </c>
      <c r="K52" s="6"/>
      <c r="L52" s="6"/>
    </row>
    <row r="53" customFormat="false" ht="15" hidden="false" customHeight="false" outlineLevel="0" collapsed="false">
      <c r="A53" s="11"/>
      <c r="B53" s="6"/>
      <c r="C53" s="12" t="str">
        <f aca="false">IF(B53="","",IFERROR(INDEX('Qualifier Registry'!$B$4:$B$103,MATCH(B53,'Qualifier Registry'!$A$4:$A$103,0)),"Not found"))</f>
        <v/>
      </c>
      <c r="D53" s="6"/>
      <c r="E53" s="13" t="str">
        <f aca="false">IF(D53="","",IFERROR(INDEX('Reference Tables'!$B$3:$B$8,MATCH(D53,'Reference Tables'!$A$3:$A$8,0)),"Invalid package"))</f>
        <v/>
      </c>
      <c r="F53" s="12" t="str">
        <f aca="false">IF(D53="","",IFERROR(INDEX('Reference Tables'!$C$3:$C$8,MATCH(D53,'Reference Tables'!$A$3:$A$8,0)),"Invalid package"))</f>
        <v/>
      </c>
      <c r="G53" s="14" t="str">
        <f aca="false">IF(E53="","",'Reference Tables'!$C$13)</f>
        <v/>
      </c>
      <c r="H53" s="12" t="str">
        <f aca="false">IF(E53="","",IF(E53&gt;=150,"Yes","No"))</f>
        <v/>
      </c>
      <c r="I53" s="13" t="str">
        <f aca="false">IF(E53="","",IF(H53="Yes",E53*G53,0))</f>
        <v/>
      </c>
      <c r="J53" s="13" t="str">
        <f aca="false">IF(E53="","",E53-I53)</f>
        <v/>
      </c>
      <c r="K53" s="6"/>
      <c r="L53" s="6"/>
    </row>
    <row r="54" customFormat="false" ht="15" hidden="false" customHeight="false" outlineLevel="0" collapsed="false">
      <c r="A54" s="11"/>
      <c r="B54" s="6"/>
      <c r="C54" s="12" t="str">
        <f aca="false">IF(B54="","",IFERROR(INDEX('Qualifier Registry'!$B$4:$B$103,MATCH(B54,'Qualifier Registry'!$A$4:$A$103,0)),"Not found"))</f>
        <v/>
      </c>
      <c r="D54" s="6"/>
      <c r="E54" s="13" t="str">
        <f aca="false">IF(D54="","",IFERROR(INDEX('Reference Tables'!$B$3:$B$8,MATCH(D54,'Reference Tables'!$A$3:$A$8,0)),"Invalid package"))</f>
        <v/>
      </c>
      <c r="F54" s="12" t="str">
        <f aca="false">IF(D54="","",IFERROR(INDEX('Reference Tables'!$C$3:$C$8,MATCH(D54,'Reference Tables'!$A$3:$A$8,0)),"Invalid package"))</f>
        <v/>
      </c>
      <c r="G54" s="14" t="str">
        <f aca="false">IF(E54="","",'Reference Tables'!$C$13)</f>
        <v/>
      </c>
      <c r="H54" s="12" t="str">
        <f aca="false">IF(E54="","",IF(E54&gt;=150,"Yes","No"))</f>
        <v/>
      </c>
      <c r="I54" s="13" t="str">
        <f aca="false">IF(E54="","",IF(H54="Yes",E54*G54,0))</f>
        <v/>
      </c>
      <c r="J54" s="13" t="str">
        <f aca="false">IF(E54="","",E54-I54)</f>
        <v/>
      </c>
      <c r="K54" s="6"/>
      <c r="L54" s="6"/>
    </row>
    <row r="55" customFormat="false" ht="15" hidden="false" customHeight="false" outlineLevel="0" collapsed="false">
      <c r="A55" s="11"/>
      <c r="B55" s="6"/>
      <c r="C55" s="12" t="str">
        <f aca="false">IF(B55="","",IFERROR(INDEX('Qualifier Registry'!$B$4:$B$103,MATCH(B55,'Qualifier Registry'!$A$4:$A$103,0)),"Not found"))</f>
        <v/>
      </c>
      <c r="D55" s="6"/>
      <c r="E55" s="13" t="str">
        <f aca="false">IF(D55="","",IFERROR(INDEX('Reference Tables'!$B$3:$B$8,MATCH(D55,'Reference Tables'!$A$3:$A$8,0)),"Invalid package"))</f>
        <v/>
      </c>
      <c r="F55" s="12" t="str">
        <f aca="false">IF(D55="","",IFERROR(INDEX('Reference Tables'!$C$3:$C$8,MATCH(D55,'Reference Tables'!$A$3:$A$8,0)),"Invalid package"))</f>
        <v/>
      </c>
      <c r="G55" s="14" t="str">
        <f aca="false">IF(E55="","",'Reference Tables'!$C$13)</f>
        <v/>
      </c>
      <c r="H55" s="12" t="str">
        <f aca="false">IF(E55="","",IF(E55&gt;=150,"Yes","No"))</f>
        <v/>
      </c>
      <c r="I55" s="13" t="str">
        <f aca="false">IF(E55="","",IF(H55="Yes",E55*G55,0))</f>
        <v/>
      </c>
      <c r="J55" s="13" t="str">
        <f aca="false">IF(E55="","",E55-I55)</f>
        <v/>
      </c>
      <c r="K55" s="6"/>
      <c r="L55" s="6"/>
    </row>
    <row r="56" customFormat="false" ht="15" hidden="false" customHeight="false" outlineLevel="0" collapsed="false">
      <c r="A56" s="11"/>
      <c r="B56" s="6"/>
      <c r="C56" s="12" t="str">
        <f aca="false">IF(B56="","",IFERROR(INDEX('Qualifier Registry'!$B$4:$B$103,MATCH(B56,'Qualifier Registry'!$A$4:$A$103,0)),"Not found"))</f>
        <v/>
      </c>
      <c r="D56" s="6"/>
      <c r="E56" s="13" t="str">
        <f aca="false">IF(D56="","",IFERROR(INDEX('Reference Tables'!$B$3:$B$8,MATCH(D56,'Reference Tables'!$A$3:$A$8,0)),"Invalid package"))</f>
        <v/>
      </c>
      <c r="F56" s="12" t="str">
        <f aca="false">IF(D56="","",IFERROR(INDEX('Reference Tables'!$C$3:$C$8,MATCH(D56,'Reference Tables'!$A$3:$A$8,0)),"Invalid package"))</f>
        <v/>
      </c>
      <c r="G56" s="14" t="str">
        <f aca="false">IF(E56="","",'Reference Tables'!$C$13)</f>
        <v/>
      </c>
      <c r="H56" s="12" t="str">
        <f aca="false">IF(E56="","",IF(E56&gt;=150,"Yes","No"))</f>
        <v/>
      </c>
      <c r="I56" s="13" t="str">
        <f aca="false">IF(E56="","",IF(H56="Yes",E56*G56,0))</f>
        <v/>
      </c>
      <c r="J56" s="13" t="str">
        <f aca="false">IF(E56="","",E56-I56)</f>
        <v/>
      </c>
      <c r="K56" s="6"/>
      <c r="L56" s="6"/>
    </row>
    <row r="57" customFormat="false" ht="15" hidden="false" customHeight="false" outlineLevel="0" collapsed="false">
      <c r="A57" s="11"/>
      <c r="B57" s="6"/>
      <c r="C57" s="12" t="str">
        <f aca="false">IF(B57="","",IFERROR(INDEX('Qualifier Registry'!$B$4:$B$103,MATCH(B57,'Qualifier Registry'!$A$4:$A$103,0)),"Not found"))</f>
        <v/>
      </c>
      <c r="D57" s="6"/>
      <c r="E57" s="13" t="str">
        <f aca="false">IF(D57="","",IFERROR(INDEX('Reference Tables'!$B$3:$B$8,MATCH(D57,'Reference Tables'!$A$3:$A$8,0)),"Invalid package"))</f>
        <v/>
      </c>
      <c r="F57" s="12" t="str">
        <f aca="false">IF(D57="","",IFERROR(INDEX('Reference Tables'!$C$3:$C$8,MATCH(D57,'Reference Tables'!$A$3:$A$8,0)),"Invalid package"))</f>
        <v/>
      </c>
      <c r="G57" s="14" t="str">
        <f aca="false">IF(E57="","",'Reference Tables'!$C$13)</f>
        <v/>
      </c>
      <c r="H57" s="12" t="str">
        <f aca="false">IF(E57="","",IF(E57&gt;=150,"Yes","No"))</f>
        <v/>
      </c>
      <c r="I57" s="13" t="str">
        <f aca="false">IF(E57="","",IF(H57="Yes",E57*G57,0))</f>
        <v/>
      </c>
      <c r="J57" s="13" t="str">
        <f aca="false">IF(E57="","",E57-I57)</f>
        <v/>
      </c>
      <c r="K57" s="6"/>
      <c r="L57" s="6"/>
    </row>
    <row r="58" customFormat="false" ht="15" hidden="false" customHeight="false" outlineLevel="0" collapsed="false">
      <c r="A58" s="11"/>
      <c r="B58" s="6"/>
      <c r="C58" s="12" t="str">
        <f aca="false">IF(B58="","",IFERROR(INDEX('Qualifier Registry'!$B$4:$B$103,MATCH(B58,'Qualifier Registry'!$A$4:$A$103,0)),"Not found"))</f>
        <v/>
      </c>
      <c r="D58" s="6"/>
      <c r="E58" s="13" t="str">
        <f aca="false">IF(D58="","",IFERROR(INDEX('Reference Tables'!$B$3:$B$8,MATCH(D58,'Reference Tables'!$A$3:$A$8,0)),"Invalid package"))</f>
        <v/>
      </c>
      <c r="F58" s="12" t="str">
        <f aca="false">IF(D58="","",IFERROR(INDEX('Reference Tables'!$C$3:$C$8,MATCH(D58,'Reference Tables'!$A$3:$A$8,0)),"Invalid package"))</f>
        <v/>
      </c>
      <c r="G58" s="14" t="str">
        <f aca="false">IF(E58="","",'Reference Tables'!$C$13)</f>
        <v/>
      </c>
      <c r="H58" s="12" t="str">
        <f aca="false">IF(E58="","",IF(E58&gt;=150,"Yes","No"))</f>
        <v/>
      </c>
      <c r="I58" s="13" t="str">
        <f aca="false">IF(E58="","",IF(H58="Yes",E58*G58,0))</f>
        <v/>
      </c>
      <c r="J58" s="13" t="str">
        <f aca="false">IF(E58="","",E58-I58)</f>
        <v/>
      </c>
      <c r="K58" s="6"/>
      <c r="L58" s="6"/>
    </row>
    <row r="59" customFormat="false" ht="15" hidden="false" customHeight="false" outlineLevel="0" collapsed="false">
      <c r="A59" s="11"/>
      <c r="B59" s="6"/>
      <c r="C59" s="12" t="str">
        <f aca="false">IF(B59="","",IFERROR(INDEX('Qualifier Registry'!$B$4:$B$103,MATCH(B59,'Qualifier Registry'!$A$4:$A$103,0)),"Not found"))</f>
        <v/>
      </c>
      <c r="D59" s="6"/>
      <c r="E59" s="13" t="str">
        <f aca="false">IF(D59="","",IFERROR(INDEX('Reference Tables'!$B$3:$B$8,MATCH(D59,'Reference Tables'!$A$3:$A$8,0)),"Invalid package"))</f>
        <v/>
      </c>
      <c r="F59" s="12" t="str">
        <f aca="false">IF(D59="","",IFERROR(INDEX('Reference Tables'!$C$3:$C$8,MATCH(D59,'Reference Tables'!$A$3:$A$8,0)),"Invalid package"))</f>
        <v/>
      </c>
      <c r="G59" s="14" t="str">
        <f aca="false">IF(E59="","",'Reference Tables'!$C$13)</f>
        <v/>
      </c>
      <c r="H59" s="12" t="str">
        <f aca="false">IF(E59="","",IF(E59&gt;=150,"Yes","No"))</f>
        <v/>
      </c>
      <c r="I59" s="13" t="str">
        <f aca="false">IF(E59="","",IF(H59="Yes",E59*G59,0))</f>
        <v/>
      </c>
      <c r="J59" s="13" t="str">
        <f aca="false">IF(E59="","",E59-I59)</f>
        <v/>
      </c>
      <c r="K59" s="6"/>
      <c r="L59" s="6"/>
    </row>
    <row r="60" customFormat="false" ht="15" hidden="false" customHeight="false" outlineLevel="0" collapsed="false">
      <c r="A60" s="11"/>
      <c r="B60" s="6"/>
      <c r="C60" s="12" t="str">
        <f aca="false">IF(B60="","",IFERROR(INDEX('Qualifier Registry'!$B$4:$B$103,MATCH(B60,'Qualifier Registry'!$A$4:$A$103,0)),"Not found"))</f>
        <v/>
      </c>
      <c r="D60" s="6"/>
      <c r="E60" s="13" t="str">
        <f aca="false">IF(D60="","",IFERROR(INDEX('Reference Tables'!$B$3:$B$8,MATCH(D60,'Reference Tables'!$A$3:$A$8,0)),"Invalid package"))</f>
        <v/>
      </c>
      <c r="F60" s="12" t="str">
        <f aca="false">IF(D60="","",IFERROR(INDEX('Reference Tables'!$C$3:$C$8,MATCH(D60,'Reference Tables'!$A$3:$A$8,0)),"Invalid package"))</f>
        <v/>
      </c>
      <c r="G60" s="14" t="str">
        <f aca="false">IF(E60="","",'Reference Tables'!$C$13)</f>
        <v/>
      </c>
      <c r="H60" s="12" t="str">
        <f aca="false">IF(E60="","",IF(E60&gt;=150,"Yes","No"))</f>
        <v/>
      </c>
      <c r="I60" s="13" t="str">
        <f aca="false">IF(E60="","",IF(H60="Yes",E60*G60,0))</f>
        <v/>
      </c>
      <c r="J60" s="13" t="str">
        <f aca="false">IF(E60="","",E60-I60)</f>
        <v/>
      </c>
      <c r="K60" s="6"/>
      <c r="L60" s="6"/>
    </row>
    <row r="61" customFormat="false" ht="15" hidden="false" customHeight="false" outlineLevel="0" collapsed="false">
      <c r="A61" s="11"/>
      <c r="B61" s="6"/>
      <c r="C61" s="12" t="str">
        <f aca="false">IF(B61="","",IFERROR(INDEX('Qualifier Registry'!$B$4:$B$103,MATCH(B61,'Qualifier Registry'!$A$4:$A$103,0)),"Not found"))</f>
        <v/>
      </c>
      <c r="D61" s="6"/>
      <c r="E61" s="13" t="str">
        <f aca="false">IF(D61="","",IFERROR(INDEX('Reference Tables'!$B$3:$B$8,MATCH(D61,'Reference Tables'!$A$3:$A$8,0)),"Invalid package"))</f>
        <v/>
      </c>
      <c r="F61" s="12" t="str">
        <f aca="false">IF(D61="","",IFERROR(INDEX('Reference Tables'!$C$3:$C$8,MATCH(D61,'Reference Tables'!$A$3:$A$8,0)),"Invalid package"))</f>
        <v/>
      </c>
      <c r="G61" s="14" t="str">
        <f aca="false">IF(E61="","",'Reference Tables'!$C$13)</f>
        <v/>
      </c>
      <c r="H61" s="12" t="str">
        <f aca="false">IF(E61="","",IF(E61&gt;=150,"Yes","No"))</f>
        <v/>
      </c>
      <c r="I61" s="13" t="str">
        <f aca="false">IF(E61="","",IF(H61="Yes",E61*G61,0))</f>
        <v/>
      </c>
      <c r="J61" s="13" t="str">
        <f aca="false">IF(E61="","",E61-I61)</f>
        <v/>
      </c>
      <c r="K61" s="6"/>
      <c r="L61" s="6"/>
    </row>
    <row r="62" customFormat="false" ht="15" hidden="false" customHeight="false" outlineLevel="0" collapsed="false">
      <c r="A62" s="11"/>
      <c r="B62" s="6"/>
      <c r="C62" s="12" t="str">
        <f aca="false">IF(B62="","",IFERROR(INDEX('Qualifier Registry'!$B$4:$B$103,MATCH(B62,'Qualifier Registry'!$A$4:$A$103,0)),"Not found"))</f>
        <v/>
      </c>
      <c r="D62" s="6"/>
      <c r="E62" s="13" t="str">
        <f aca="false">IF(D62="","",IFERROR(INDEX('Reference Tables'!$B$3:$B$8,MATCH(D62,'Reference Tables'!$A$3:$A$8,0)),"Invalid package"))</f>
        <v/>
      </c>
      <c r="F62" s="12" t="str">
        <f aca="false">IF(D62="","",IFERROR(INDEX('Reference Tables'!$C$3:$C$8,MATCH(D62,'Reference Tables'!$A$3:$A$8,0)),"Invalid package"))</f>
        <v/>
      </c>
      <c r="G62" s="14" t="str">
        <f aca="false">IF(E62="","",'Reference Tables'!$C$13)</f>
        <v/>
      </c>
      <c r="H62" s="12" t="str">
        <f aca="false">IF(E62="","",IF(E62&gt;=150,"Yes","No"))</f>
        <v/>
      </c>
      <c r="I62" s="13" t="str">
        <f aca="false">IF(E62="","",IF(H62="Yes",E62*G62,0))</f>
        <v/>
      </c>
      <c r="J62" s="13" t="str">
        <f aca="false">IF(E62="","",E62-I62)</f>
        <v/>
      </c>
      <c r="K62" s="6"/>
      <c r="L62" s="6"/>
    </row>
    <row r="63" customFormat="false" ht="15" hidden="false" customHeight="false" outlineLevel="0" collapsed="false">
      <c r="A63" s="11"/>
      <c r="B63" s="6"/>
      <c r="C63" s="12" t="str">
        <f aca="false">IF(B63="","",IFERROR(INDEX('Qualifier Registry'!$B$4:$B$103,MATCH(B63,'Qualifier Registry'!$A$4:$A$103,0)),"Not found"))</f>
        <v/>
      </c>
      <c r="D63" s="6"/>
      <c r="E63" s="13" t="str">
        <f aca="false">IF(D63="","",IFERROR(INDEX('Reference Tables'!$B$3:$B$8,MATCH(D63,'Reference Tables'!$A$3:$A$8,0)),"Invalid package"))</f>
        <v/>
      </c>
      <c r="F63" s="12" t="str">
        <f aca="false">IF(D63="","",IFERROR(INDEX('Reference Tables'!$C$3:$C$8,MATCH(D63,'Reference Tables'!$A$3:$A$8,0)),"Invalid package"))</f>
        <v/>
      </c>
      <c r="G63" s="14" t="str">
        <f aca="false">IF(E63="","",'Reference Tables'!$C$13)</f>
        <v/>
      </c>
      <c r="H63" s="12" t="str">
        <f aca="false">IF(E63="","",IF(E63&gt;=150,"Yes","No"))</f>
        <v/>
      </c>
      <c r="I63" s="13" t="str">
        <f aca="false">IF(E63="","",IF(H63="Yes",E63*G63,0))</f>
        <v/>
      </c>
      <c r="J63" s="13" t="str">
        <f aca="false">IF(E63="","",E63-I63)</f>
        <v/>
      </c>
      <c r="K63" s="6"/>
      <c r="L63" s="6"/>
    </row>
    <row r="64" customFormat="false" ht="15" hidden="false" customHeight="false" outlineLevel="0" collapsed="false">
      <c r="A64" s="11"/>
      <c r="B64" s="6"/>
      <c r="C64" s="12" t="str">
        <f aca="false">IF(B64="","",IFERROR(INDEX('Qualifier Registry'!$B$4:$B$103,MATCH(B64,'Qualifier Registry'!$A$4:$A$103,0)),"Not found"))</f>
        <v/>
      </c>
      <c r="D64" s="6"/>
      <c r="E64" s="13" t="str">
        <f aca="false">IF(D64="","",IFERROR(INDEX('Reference Tables'!$B$3:$B$8,MATCH(D64,'Reference Tables'!$A$3:$A$8,0)),"Invalid package"))</f>
        <v/>
      </c>
      <c r="F64" s="12" t="str">
        <f aca="false">IF(D64="","",IFERROR(INDEX('Reference Tables'!$C$3:$C$8,MATCH(D64,'Reference Tables'!$A$3:$A$8,0)),"Invalid package"))</f>
        <v/>
      </c>
      <c r="G64" s="14" t="str">
        <f aca="false">IF(E64="","",'Reference Tables'!$C$13)</f>
        <v/>
      </c>
      <c r="H64" s="12" t="str">
        <f aca="false">IF(E64="","",IF(E64&gt;=150,"Yes","No"))</f>
        <v/>
      </c>
      <c r="I64" s="13" t="str">
        <f aca="false">IF(E64="","",IF(H64="Yes",E64*G64,0))</f>
        <v/>
      </c>
      <c r="J64" s="13" t="str">
        <f aca="false">IF(E64="","",E64-I64)</f>
        <v/>
      </c>
      <c r="K64" s="6"/>
      <c r="L64" s="6"/>
    </row>
    <row r="65" customFormat="false" ht="15" hidden="false" customHeight="false" outlineLevel="0" collapsed="false">
      <c r="A65" s="11"/>
      <c r="B65" s="6"/>
      <c r="C65" s="12" t="str">
        <f aca="false">IF(B65="","",IFERROR(INDEX('Qualifier Registry'!$B$4:$B$103,MATCH(B65,'Qualifier Registry'!$A$4:$A$103,0)),"Not found"))</f>
        <v/>
      </c>
      <c r="D65" s="6"/>
      <c r="E65" s="13" t="str">
        <f aca="false">IF(D65="","",IFERROR(INDEX('Reference Tables'!$B$3:$B$8,MATCH(D65,'Reference Tables'!$A$3:$A$8,0)),"Invalid package"))</f>
        <v/>
      </c>
      <c r="F65" s="12" t="str">
        <f aca="false">IF(D65="","",IFERROR(INDEX('Reference Tables'!$C$3:$C$8,MATCH(D65,'Reference Tables'!$A$3:$A$8,0)),"Invalid package"))</f>
        <v/>
      </c>
      <c r="G65" s="14" t="str">
        <f aca="false">IF(E65="","",'Reference Tables'!$C$13)</f>
        <v/>
      </c>
      <c r="H65" s="12" t="str">
        <f aca="false">IF(E65="","",IF(E65&gt;=150,"Yes","No"))</f>
        <v/>
      </c>
      <c r="I65" s="13" t="str">
        <f aca="false">IF(E65="","",IF(H65="Yes",E65*G65,0))</f>
        <v/>
      </c>
      <c r="J65" s="13" t="str">
        <f aca="false">IF(E65="","",E65-I65)</f>
        <v/>
      </c>
      <c r="K65" s="6"/>
      <c r="L65" s="6"/>
    </row>
    <row r="66" customFormat="false" ht="15" hidden="false" customHeight="false" outlineLevel="0" collapsed="false">
      <c r="A66" s="11"/>
      <c r="B66" s="6"/>
      <c r="C66" s="12" t="str">
        <f aca="false">IF(B66="","",IFERROR(INDEX('Qualifier Registry'!$B$4:$B$103,MATCH(B66,'Qualifier Registry'!$A$4:$A$103,0)),"Not found"))</f>
        <v/>
      </c>
      <c r="D66" s="6"/>
      <c r="E66" s="13" t="str">
        <f aca="false">IF(D66="","",IFERROR(INDEX('Reference Tables'!$B$3:$B$8,MATCH(D66,'Reference Tables'!$A$3:$A$8,0)),"Invalid package"))</f>
        <v/>
      </c>
      <c r="F66" s="12" t="str">
        <f aca="false">IF(D66="","",IFERROR(INDEX('Reference Tables'!$C$3:$C$8,MATCH(D66,'Reference Tables'!$A$3:$A$8,0)),"Invalid package"))</f>
        <v/>
      </c>
      <c r="G66" s="14" t="str">
        <f aca="false">IF(E66="","",'Reference Tables'!$C$13)</f>
        <v/>
      </c>
      <c r="H66" s="12" t="str">
        <f aca="false">IF(E66="","",IF(E66&gt;=150,"Yes","No"))</f>
        <v/>
      </c>
      <c r="I66" s="13" t="str">
        <f aca="false">IF(E66="","",IF(H66="Yes",E66*G66,0))</f>
        <v/>
      </c>
      <c r="J66" s="13" t="str">
        <f aca="false">IF(E66="","",E66-I66)</f>
        <v/>
      </c>
      <c r="K66" s="6"/>
      <c r="L66" s="6"/>
    </row>
    <row r="67" customFormat="false" ht="15" hidden="false" customHeight="false" outlineLevel="0" collapsed="false">
      <c r="A67" s="11"/>
      <c r="B67" s="6"/>
      <c r="C67" s="12" t="str">
        <f aca="false">IF(B67="","",IFERROR(INDEX('Qualifier Registry'!$B$4:$B$103,MATCH(B67,'Qualifier Registry'!$A$4:$A$103,0)),"Not found"))</f>
        <v/>
      </c>
      <c r="D67" s="6"/>
      <c r="E67" s="13" t="str">
        <f aca="false">IF(D67="","",IFERROR(INDEX('Reference Tables'!$B$3:$B$8,MATCH(D67,'Reference Tables'!$A$3:$A$8,0)),"Invalid package"))</f>
        <v/>
      </c>
      <c r="F67" s="12" t="str">
        <f aca="false">IF(D67="","",IFERROR(INDEX('Reference Tables'!$C$3:$C$8,MATCH(D67,'Reference Tables'!$A$3:$A$8,0)),"Invalid package"))</f>
        <v/>
      </c>
      <c r="G67" s="14" t="str">
        <f aca="false">IF(E67="","",'Reference Tables'!$C$13)</f>
        <v/>
      </c>
      <c r="H67" s="12" t="str">
        <f aca="false">IF(E67="","",IF(E67&gt;=150,"Yes","No"))</f>
        <v/>
      </c>
      <c r="I67" s="13" t="str">
        <f aca="false">IF(E67="","",IF(H67="Yes",E67*G67,0))</f>
        <v/>
      </c>
      <c r="J67" s="13" t="str">
        <f aca="false">IF(E67="","",E67-I67)</f>
        <v/>
      </c>
      <c r="K67" s="6"/>
      <c r="L67" s="6"/>
    </row>
    <row r="68" customFormat="false" ht="15" hidden="false" customHeight="false" outlineLevel="0" collapsed="false">
      <c r="A68" s="11"/>
      <c r="B68" s="6"/>
      <c r="C68" s="12" t="str">
        <f aca="false">IF(B68="","",IFERROR(INDEX('Qualifier Registry'!$B$4:$B$103,MATCH(B68,'Qualifier Registry'!$A$4:$A$103,0)),"Not found"))</f>
        <v/>
      </c>
      <c r="D68" s="6"/>
      <c r="E68" s="13" t="str">
        <f aca="false">IF(D68="","",IFERROR(INDEX('Reference Tables'!$B$3:$B$8,MATCH(D68,'Reference Tables'!$A$3:$A$8,0)),"Invalid package"))</f>
        <v/>
      </c>
      <c r="F68" s="12" t="str">
        <f aca="false">IF(D68="","",IFERROR(INDEX('Reference Tables'!$C$3:$C$8,MATCH(D68,'Reference Tables'!$A$3:$A$8,0)),"Invalid package"))</f>
        <v/>
      </c>
      <c r="G68" s="14" t="str">
        <f aca="false">IF(E68="","",'Reference Tables'!$C$13)</f>
        <v/>
      </c>
      <c r="H68" s="12" t="str">
        <f aca="false">IF(E68="","",IF(E68&gt;=150,"Yes","No"))</f>
        <v/>
      </c>
      <c r="I68" s="13" t="str">
        <f aca="false">IF(E68="","",IF(H68="Yes",E68*G68,0))</f>
        <v/>
      </c>
      <c r="J68" s="13" t="str">
        <f aca="false">IF(E68="","",E68-I68)</f>
        <v/>
      </c>
      <c r="K68" s="6"/>
      <c r="L68" s="6"/>
    </row>
    <row r="69" customFormat="false" ht="15" hidden="false" customHeight="false" outlineLevel="0" collapsed="false">
      <c r="A69" s="11"/>
      <c r="B69" s="6"/>
      <c r="C69" s="12" t="str">
        <f aca="false">IF(B69="","",IFERROR(INDEX('Qualifier Registry'!$B$4:$B$103,MATCH(B69,'Qualifier Registry'!$A$4:$A$103,0)),"Not found"))</f>
        <v/>
      </c>
      <c r="D69" s="6"/>
      <c r="E69" s="13" t="str">
        <f aca="false">IF(D69="","",IFERROR(INDEX('Reference Tables'!$B$3:$B$8,MATCH(D69,'Reference Tables'!$A$3:$A$8,0)),"Invalid package"))</f>
        <v/>
      </c>
      <c r="F69" s="12" t="str">
        <f aca="false">IF(D69="","",IFERROR(INDEX('Reference Tables'!$C$3:$C$8,MATCH(D69,'Reference Tables'!$A$3:$A$8,0)),"Invalid package"))</f>
        <v/>
      </c>
      <c r="G69" s="14" t="str">
        <f aca="false">IF(E69="","",'Reference Tables'!$C$13)</f>
        <v/>
      </c>
      <c r="H69" s="12" t="str">
        <f aca="false">IF(E69="","",IF(E69&gt;=150,"Yes","No"))</f>
        <v/>
      </c>
      <c r="I69" s="13" t="str">
        <f aca="false">IF(E69="","",IF(H69="Yes",E69*G69,0))</f>
        <v/>
      </c>
      <c r="J69" s="13" t="str">
        <f aca="false">IF(E69="","",E69-I69)</f>
        <v/>
      </c>
      <c r="K69" s="6"/>
      <c r="L69" s="6"/>
    </row>
    <row r="70" customFormat="false" ht="15" hidden="false" customHeight="false" outlineLevel="0" collapsed="false">
      <c r="A70" s="11"/>
      <c r="B70" s="6"/>
      <c r="C70" s="12" t="str">
        <f aca="false">IF(B70="","",IFERROR(INDEX('Qualifier Registry'!$B$4:$B$103,MATCH(B70,'Qualifier Registry'!$A$4:$A$103,0)),"Not found"))</f>
        <v/>
      </c>
      <c r="D70" s="6"/>
      <c r="E70" s="13" t="str">
        <f aca="false">IF(D70="","",IFERROR(INDEX('Reference Tables'!$B$3:$B$8,MATCH(D70,'Reference Tables'!$A$3:$A$8,0)),"Invalid package"))</f>
        <v/>
      </c>
      <c r="F70" s="12" t="str">
        <f aca="false">IF(D70="","",IFERROR(INDEX('Reference Tables'!$C$3:$C$8,MATCH(D70,'Reference Tables'!$A$3:$A$8,0)),"Invalid package"))</f>
        <v/>
      </c>
      <c r="G70" s="14" t="str">
        <f aca="false">IF(E70="","",'Reference Tables'!$C$13)</f>
        <v/>
      </c>
      <c r="H70" s="12" t="str">
        <f aca="false">IF(E70="","",IF(E70&gt;=150,"Yes","No"))</f>
        <v/>
      </c>
      <c r="I70" s="13" t="str">
        <f aca="false">IF(E70="","",IF(H70="Yes",E70*G70,0))</f>
        <v/>
      </c>
      <c r="J70" s="13" t="str">
        <f aca="false">IF(E70="","",E70-I70)</f>
        <v/>
      </c>
      <c r="K70" s="6"/>
      <c r="L70" s="6"/>
    </row>
    <row r="71" customFormat="false" ht="15" hidden="false" customHeight="false" outlineLevel="0" collapsed="false">
      <c r="A71" s="11"/>
      <c r="B71" s="6"/>
      <c r="C71" s="12" t="str">
        <f aca="false">IF(B71="","",IFERROR(INDEX('Qualifier Registry'!$B$4:$B$103,MATCH(B71,'Qualifier Registry'!$A$4:$A$103,0)),"Not found"))</f>
        <v/>
      </c>
      <c r="D71" s="6"/>
      <c r="E71" s="13" t="str">
        <f aca="false">IF(D71="","",IFERROR(INDEX('Reference Tables'!$B$3:$B$8,MATCH(D71,'Reference Tables'!$A$3:$A$8,0)),"Invalid package"))</f>
        <v/>
      </c>
      <c r="F71" s="12" t="str">
        <f aca="false">IF(D71="","",IFERROR(INDEX('Reference Tables'!$C$3:$C$8,MATCH(D71,'Reference Tables'!$A$3:$A$8,0)),"Invalid package"))</f>
        <v/>
      </c>
      <c r="G71" s="14" t="str">
        <f aca="false">IF(E71="","",'Reference Tables'!$C$13)</f>
        <v/>
      </c>
      <c r="H71" s="12" t="str">
        <f aca="false">IF(E71="","",IF(E71&gt;=150,"Yes","No"))</f>
        <v/>
      </c>
      <c r="I71" s="13" t="str">
        <f aca="false">IF(E71="","",IF(H71="Yes",E71*G71,0))</f>
        <v/>
      </c>
      <c r="J71" s="13" t="str">
        <f aca="false">IF(E71="","",E71-I71)</f>
        <v/>
      </c>
      <c r="K71" s="6"/>
      <c r="L71" s="6"/>
    </row>
    <row r="72" customFormat="false" ht="15" hidden="false" customHeight="false" outlineLevel="0" collapsed="false">
      <c r="A72" s="11"/>
      <c r="B72" s="6"/>
      <c r="C72" s="12" t="str">
        <f aca="false">IF(B72="","",IFERROR(INDEX('Qualifier Registry'!$B$4:$B$103,MATCH(B72,'Qualifier Registry'!$A$4:$A$103,0)),"Not found"))</f>
        <v/>
      </c>
      <c r="D72" s="6"/>
      <c r="E72" s="13" t="str">
        <f aca="false">IF(D72="","",IFERROR(INDEX('Reference Tables'!$B$3:$B$8,MATCH(D72,'Reference Tables'!$A$3:$A$8,0)),"Invalid package"))</f>
        <v/>
      </c>
      <c r="F72" s="12" t="str">
        <f aca="false">IF(D72="","",IFERROR(INDEX('Reference Tables'!$C$3:$C$8,MATCH(D72,'Reference Tables'!$A$3:$A$8,0)),"Invalid package"))</f>
        <v/>
      </c>
      <c r="G72" s="14" t="str">
        <f aca="false">IF(E72="","",'Reference Tables'!$C$13)</f>
        <v/>
      </c>
      <c r="H72" s="12" t="str">
        <f aca="false">IF(E72="","",IF(E72&gt;=150,"Yes","No"))</f>
        <v/>
      </c>
      <c r="I72" s="13" t="str">
        <f aca="false">IF(E72="","",IF(H72="Yes",E72*G72,0))</f>
        <v/>
      </c>
      <c r="J72" s="13" t="str">
        <f aca="false">IF(E72="","",E72-I72)</f>
        <v/>
      </c>
      <c r="K72" s="6"/>
      <c r="L72" s="6"/>
    </row>
    <row r="73" customFormat="false" ht="15" hidden="false" customHeight="false" outlineLevel="0" collapsed="false">
      <c r="A73" s="11"/>
      <c r="B73" s="6"/>
      <c r="C73" s="12" t="str">
        <f aca="false">IF(B73="","",IFERROR(INDEX('Qualifier Registry'!$B$4:$B$103,MATCH(B73,'Qualifier Registry'!$A$4:$A$103,0)),"Not found"))</f>
        <v/>
      </c>
      <c r="D73" s="6"/>
      <c r="E73" s="13" t="str">
        <f aca="false">IF(D73="","",IFERROR(INDEX('Reference Tables'!$B$3:$B$8,MATCH(D73,'Reference Tables'!$A$3:$A$8,0)),"Invalid package"))</f>
        <v/>
      </c>
      <c r="F73" s="12" t="str">
        <f aca="false">IF(D73="","",IFERROR(INDEX('Reference Tables'!$C$3:$C$8,MATCH(D73,'Reference Tables'!$A$3:$A$8,0)),"Invalid package"))</f>
        <v/>
      </c>
      <c r="G73" s="14" t="str">
        <f aca="false">IF(E73="","",'Reference Tables'!$C$13)</f>
        <v/>
      </c>
      <c r="H73" s="12" t="str">
        <f aca="false">IF(E73="","",IF(E73&gt;=150,"Yes","No"))</f>
        <v/>
      </c>
      <c r="I73" s="13" t="str">
        <f aca="false">IF(E73="","",IF(H73="Yes",E73*G73,0))</f>
        <v/>
      </c>
      <c r="J73" s="13" t="str">
        <f aca="false">IF(E73="","",E73-I73)</f>
        <v/>
      </c>
      <c r="K73" s="6"/>
      <c r="L73" s="6"/>
    </row>
    <row r="74" customFormat="false" ht="15" hidden="false" customHeight="false" outlineLevel="0" collapsed="false">
      <c r="A74" s="11"/>
      <c r="B74" s="6"/>
      <c r="C74" s="12" t="str">
        <f aca="false">IF(B74="","",IFERROR(INDEX('Qualifier Registry'!$B$4:$B$103,MATCH(B74,'Qualifier Registry'!$A$4:$A$103,0)),"Not found"))</f>
        <v/>
      </c>
      <c r="D74" s="6"/>
      <c r="E74" s="13" t="str">
        <f aca="false">IF(D74="","",IFERROR(INDEX('Reference Tables'!$B$3:$B$8,MATCH(D74,'Reference Tables'!$A$3:$A$8,0)),"Invalid package"))</f>
        <v/>
      </c>
      <c r="F74" s="12" t="str">
        <f aca="false">IF(D74="","",IFERROR(INDEX('Reference Tables'!$C$3:$C$8,MATCH(D74,'Reference Tables'!$A$3:$A$8,0)),"Invalid package"))</f>
        <v/>
      </c>
      <c r="G74" s="14" t="str">
        <f aca="false">IF(E74="","",'Reference Tables'!$C$13)</f>
        <v/>
      </c>
      <c r="H74" s="12" t="str">
        <f aca="false">IF(E74="","",IF(E74&gt;=150,"Yes","No"))</f>
        <v/>
      </c>
      <c r="I74" s="13" t="str">
        <f aca="false">IF(E74="","",IF(H74="Yes",E74*G74,0))</f>
        <v/>
      </c>
      <c r="J74" s="13" t="str">
        <f aca="false">IF(E74="","",E74-I74)</f>
        <v/>
      </c>
      <c r="K74" s="6"/>
      <c r="L74" s="6"/>
    </row>
    <row r="75" customFormat="false" ht="15" hidden="false" customHeight="false" outlineLevel="0" collapsed="false">
      <c r="A75" s="11"/>
      <c r="B75" s="6"/>
      <c r="C75" s="12" t="str">
        <f aca="false">IF(B75="","",IFERROR(INDEX('Qualifier Registry'!$B$4:$B$103,MATCH(B75,'Qualifier Registry'!$A$4:$A$103,0)),"Not found"))</f>
        <v/>
      </c>
      <c r="D75" s="6"/>
      <c r="E75" s="13" t="str">
        <f aca="false">IF(D75="","",IFERROR(INDEX('Reference Tables'!$B$3:$B$8,MATCH(D75,'Reference Tables'!$A$3:$A$8,0)),"Invalid package"))</f>
        <v/>
      </c>
      <c r="F75" s="12" t="str">
        <f aca="false">IF(D75="","",IFERROR(INDEX('Reference Tables'!$C$3:$C$8,MATCH(D75,'Reference Tables'!$A$3:$A$8,0)),"Invalid package"))</f>
        <v/>
      </c>
      <c r="G75" s="14" t="str">
        <f aca="false">IF(E75="","",'Reference Tables'!$C$13)</f>
        <v/>
      </c>
      <c r="H75" s="12" t="str">
        <f aca="false">IF(E75="","",IF(E75&gt;=150,"Yes","No"))</f>
        <v/>
      </c>
      <c r="I75" s="13" t="str">
        <f aca="false">IF(E75="","",IF(H75="Yes",E75*G75,0))</f>
        <v/>
      </c>
      <c r="J75" s="13" t="str">
        <f aca="false">IF(E75="","",E75-I75)</f>
        <v/>
      </c>
      <c r="K75" s="6"/>
      <c r="L75" s="6"/>
    </row>
    <row r="76" customFormat="false" ht="15" hidden="false" customHeight="false" outlineLevel="0" collapsed="false">
      <c r="A76" s="11"/>
      <c r="B76" s="6"/>
      <c r="C76" s="12" t="str">
        <f aca="false">IF(B76="","",IFERROR(INDEX('Qualifier Registry'!$B$4:$B$103,MATCH(B76,'Qualifier Registry'!$A$4:$A$103,0)),"Not found"))</f>
        <v/>
      </c>
      <c r="D76" s="6"/>
      <c r="E76" s="13" t="str">
        <f aca="false">IF(D76="","",IFERROR(INDEX('Reference Tables'!$B$3:$B$8,MATCH(D76,'Reference Tables'!$A$3:$A$8,0)),"Invalid package"))</f>
        <v/>
      </c>
      <c r="F76" s="12" t="str">
        <f aca="false">IF(D76="","",IFERROR(INDEX('Reference Tables'!$C$3:$C$8,MATCH(D76,'Reference Tables'!$A$3:$A$8,0)),"Invalid package"))</f>
        <v/>
      </c>
      <c r="G76" s="14" t="str">
        <f aca="false">IF(E76="","",'Reference Tables'!$C$13)</f>
        <v/>
      </c>
      <c r="H76" s="12" t="str">
        <f aca="false">IF(E76="","",IF(E76&gt;=150,"Yes","No"))</f>
        <v/>
      </c>
      <c r="I76" s="13" t="str">
        <f aca="false">IF(E76="","",IF(H76="Yes",E76*G76,0))</f>
        <v/>
      </c>
      <c r="J76" s="13" t="str">
        <f aca="false">IF(E76="","",E76-I76)</f>
        <v/>
      </c>
      <c r="K76" s="6"/>
      <c r="L76" s="6"/>
    </row>
    <row r="77" customFormat="false" ht="15" hidden="false" customHeight="false" outlineLevel="0" collapsed="false">
      <c r="A77" s="11"/>
      <c r="B77" s="6"/>
      <c r="C77" s="12" t="str">
        <f aca="false">IF(B77="","",IFERROR(INDEX('Qualifier Registry'!$B$4:$B$103,MATCH(B77,'Qualifier Registry'!$A$4:$A$103,0)),"Not found"))</f>
        <v/>
      </c>
      <c r="D77" s="6"/>
      <c r="E77" s="13" t="str">
        <f aca="false">IF(D77="","",IFERROR(INDEX('Reference Tables'!$B$3:$B$8,MATCH(D77,'Reference Tables'!$A$3:$A$8,0)),"Invalid package"))</f>
        <v/>
      </c>
      <c r="F77" s="12" t="str">
        <f aca="false">IF(D77="","",IFERROR(INDEX('Reference Tables'!$C$3:$C$8,MATCH(D77,'Reference Tables'!$A$3:$A$8,0)),"Invalid package"))</f>
        <v/>
      </c>
      <c r="G77" s="14" t="str">
        <f aca="false">IF(E77="","",'Reference Tables'!$C$13)</f>
        <v/>
      </c>
      <c r="H77" s="12" t="str">
        <f aca="false">IF(E77="","",IF(E77&gt;=150,"Yes","No"))</f>
        <v/>
      </c>
      <c r="I77" s="13" t="str">
        <f aca="false">IF(E77="","",IF(H77="Yes",E77*G77,0))</f>
        <v/>
      </c>
      <c r="J77" s="13" t="str">
        <f aca="false">IF(E77="","",E77-I77)</f>
        <v/>
      </c>
      <c r="K77" s="6"/>
      <c r="L77" s="6"/>
    </row>
    <row r="78" customFormat="false" ht="15" hidden="false" customHeight="false" outlineLevel="0" collapsed="false">
      <c r="A78" s="11"/>
      <c r="B78" s="6"/>
      <c r="C78" s="12" t="str">
        <f aca="false">IF(B78="","",IFERROR(INDEX('Qualifier Registry'!$B$4:$B$103,MATCH(B78,'Qualifier Registry'!$A$4:$A$103,0)),"Not found"))</f>
        <v/>
      </c>
      <c r="D78" s="6"/>
      <c r="E78" s="13" t="str">
        <f aca="false">IF(D78="","",IFERROR(INDEX('Reference Tables'!$B$3:$B$8,MATCH(D78,'Reference Tables'!$A$3:$A$8,0)),"Invalid package"))</f>
        <v/>
      </c>
      <c r="F78" s="12" t="str">
        <f aca="false">IF(D78="","",IFERROR(INDEX('Reference Tables'!$C$3:$C$8,MATCH(D78,'Reference Tables'!$A$3:$A$8,0)),"Invalid package"))</f>
        <v/>
      </c>
      <c r="G78" s="14" t="str">
        <f aca="false">IF(E78="","",'Reference Tables'!$C$13)</f>
        <v/>
      </c>
      <c r="H78" s="12" t="str">
        <f aca="false">IF(E78="","",IF(E78&gt;=150,"Yes","No"))</f>
        <v/>
      </c>
      <c r="I78" s="13" t="str">
        <f aca="false">IF(E78="","",IF(H78="Yes",E78*G78,0))</f>
        <v/>
      </c>
      <c r="J78" s="13" t="str">
        <f aca="false">IF(E78="","",E78-I78)</f>
        <v/>
      </c>
      <c r="K78" s="6"/>
      <c r="L78" s="6"/>
    </row>
    <row r="79" customFormat="false" ht="15" hidden="false" customHeight="false" outlineLevel="0" collapsed="false">
      <c r="A79" s="11"/>
      <c r="B79" s="6"/>
      <c r="C79" s="12" t="str">
        <f aca="false">IF(B79="","",IFERROR(INDEX('Qualifier Registry'!$B$4:$B$103,MATCH(B79,'Qualifier Registry'!$A$4:$A$103,0)),"Not found"))</f>
        <v/>
      </c>
      <c r="D79" s="6"/>
      <c r="E79" s="13" t="str">
        <f aca="false">IF(D79="","",IFERROR(INDEX('Reference Tables'!$B$3:$B$8,MATCH(D79,'Reference Tables'!$A$3:$A$8,0)),"Invalid package"))</f>
        <v/>
      </c>
      <c r="F79" s="12" t="str">
        <f aca="false">IF(D79="","",IFERROR(INDEX('Reference Tables'!$C$3:$C$8,MATCH(D79,'Reference Tables'!$A$3:$A$8,0)),"Invalid package"))</f>
        <v/>
      </c>
      <c r="G79" s="14" t="str">
        <f aca="false">IF(E79="","",'Reference Tables'!$C$13)</f>
        <v/>
      </c>
      <c r="H79" s="12" t="str">
        <f aca="false">IF(E79="","",IF(E79&gt;=150,"Yes","No"))</f>
        <v/>
      </c>
      <c r="I79" s="13" t="str">
        <f aca="false">IF(E79="","",IF(H79="Yes",E79*G79,0))</f>
        <v/>
      </c>
      <c r="J79" s="13" t="str">
        <f aca="false">IF(E79="","",E79-I79)</f>
        <v/>
      </c>
      <c r="K79" s="6"/>
      <c r="L79" s="6"/>
    </row>
    <row r="80" customFormat="false" ht="15" hidden="false" customHeight="false" outlineLevel="0" collapsed="false">
      <c r="A80" s="11"/>
      <c r="B80" s="6"/>
      <c r="C80" s="12" t="str">
        <f aca="false">IF(B80="","",IFERROR(INDEX('Qualifier Registry'!$B$4:$B$103,MATCH(B80,'Qualifier Registry'!$A$4:$A$103,0)),"Not found"))</f>
        <v/>
      </c>
      <c r="D80" s="6"/>
      <c r="E80" s="13" t="str">
        <f aca="false">IF(D80="","",IFERROR(INDEX('Reference Tables'!$B$3:$B$8,MATCH(D80,'Reference Tables'!$A$3:$A$8,0)),"Invalid package"))</f>
        <v/>
      </c>
      <c r="F80" s="12" t="str">
        <f aca="false">IF(D80="","",IFERROR(INDEX('Reference Tables'!$C$3:$C$8,MATCH(D80,'Reference Tables'!$A$3:$A$8,0)),"Invalid package"))</f>
        <v/>
      </c>
      <c r="G80" s="14" t="str">
        <f aca="false">IF(E80="","",'Reference Tables'!$C$13)</f>
        <v/>
      </c>
      <c r="H80" s="12" t="str">
        <f aca="false">IF(E80="","",IF(E80&gt;=150,"Yes","No"))</f>
        <v/>
      </c>
      <c r="I80" s="13" t="str">
        <f aca="false">IF(E80="","",IF(H80="Yes",E80*G80,0))</f>
        <v/>
      </c>
      <c r="J80" s="13" t="str">
        <f aca="false">IF(E80="","",E80-I80)</f>
        <v/>
      </c>
      <c r="K80" s="6"/>
      <c r="L80" s="6"/>
    </row>
    <row r="81" customFormat="false" ht="15" hidden="false" customHeight="false" outlineLevel="0" collapsed="false">
      <c r="A81" s="11"/>
      <c r="B81" s="6"/>
      <c r="C81" s="12" t="str">
        <f aca="false">IF(B81="","",IFERROR(INDEX('Qualifier Registry'!$B$4:$B$103,MATCH(B81,'Qualifier Registry'!$A$4:$A$103,0)),"Not found"))</f>
        <v/>
      </c>
      <c r="D81" s="6"/>
      <c r="E81" s="13" t="str">
        <f aca="false">IF(D81="","",IFERROR(INDEX('Reference Tables'!$B$3:$B$8,MATCH(D81,'Reference Tables'!$A$3:$A$8,0)),"Invalid package"))</f>
        <v/>
      </c>
      <c r="F81" s="12" t="str">
        <f aca="false">IF(D81="","",IFERROR(INDEX('Reference Tables'!$C$3:$C$8,MATCH(D81,'Reference Tables'!$A$3:$A$8,0)),"Invalid package"))</f>
        <v/>
      </c>
      <c r="G81" s="14" t="str">
        <f aca="false">IF(E81="","",'Reference Tables'!$C$13)</f>
        <v/>
      </c>
      <c r="H81" s="12" t="str">
        <f aca="false">IF(E81="","",IF(E81&gt;=150,"Yes","No"))</f>
        <v/>
      </c>
      <c r="I81" s="13" t="str">
        <f aca="false">IF(E81="","",IF(H81="Yes",E81*G81,0))</f>
        <v/>
      </c>
      <c r="J81" s="13" t="str">
        <f aca="false">IF(E81="","",E81-I81)</f>
        <v/>
      </c>
      <c r="K81" s="6"/>
      <c r="L81" s="6"/>
    </row>
    <row r="82" customFormat="false" ht="15" hidden="false" customHeight="false" outlineLevel="0" collapsed="false">
      <c r="A82" s="11"/>
      <c r="B82" s="6"/>
      <c r="C82" s="12" t="str">
        <f aca="false">IF(B82="","",IFERROR(INDEX('Qualifier Registry'!$B$4:$B$103,MATCH(B82,'Qualifier Registry'!$A$4:$A$103,0)),"Not found"))</f>
        <v/>
      </c>
      <c r="D82" s="6"/>
      <c r="E82" s="13" t="str">
        <f aca="false">IF(D82="","",IFERROR(INDEX('Reference Tables'!$B$3:$B$8,MATCH(D82,'Reference Tables'!$A$3:$A$8,0)),"Invalid package"))</f>
        <v/>
      </c>
      <c r="F82" s="12" t="str">
        <f aca="false">IF(D82="","",IFERROR(INDEX('Reference Tables'!$C$3:$C$8,MATCH(D82,'Reference Tables'!$A$3:$A$8,0)),"Invalid package"))</f>
        <v/>
      </c>
      <c r="G82" s="14" t="str">
        <f aca="false">IF(E82="","",'Reference Tables'!$C$13)</f>
        <v/>
      </c>
      <c r="H82" s="12" t="str">
        <f aca="false">IF(E82="","",IF(E82&gt;=150,"Yes","No"))</f>
        <v/>
      </c>
      <c r="I82" s="13" t="str">
        <f aca="false">IF(E82="","",IF(H82="Yes",E82*G82,0))</f>
        <v/>
      </c>
      <c r="J82" s="13" t="str">
        <f aca="false">IF(E82="","",E82-I82)</f>
        <v/>
      </c>
      <c r="K82" s="6"/>
      <c r="L82" s="6"/>
    </row>
    <row r="83" customFormat="false" ht="15" hidden="false" customHeight="false" outlineLevel="0" collapsed="false">
      <c r="A83" s="11"/>
      <c r="B83" s="6"/>
      <c r="C83" s="12" t="str">
        <f aca="false">IF(B83="","",IFERROR(INDEX('Qualifier Registry'!$B$4:$B$103,MATCH(B83,'Qualifier Registry'!$A$4:$A$103,0)),"Not found"))</f>
        <v/>
      </c>
      <c r="D83" s="6"/>
      <c r="E83" s="13" t="str">
        <f aca="false">IF(D83="","",IFERROR(INDEX('Reference Tables'!$B$3:$B$8,MATCH(D83,'Reference Tables'!$A$3:$A$8,0)),"Invalid package"))</f>
        <v/>
      </c>
      <c r="F83" s="12" t="str">
        <f aca="false">IF(D83="","",IFERROR(INDEX('Reference Tables'!$C$3:$C$8,MATCH(D83,'Reference Tables'!$A$3:$A$8,0)),"Invalid package"))</f>
        <v/>
      </c>
      <c r="G83" s="14" t="str">
        <f aca="false">IF(E83="","",'Reference Tables'!$C$13)</f>
        <v/>
      </c>
      <c r="H83" s="12" t="str">
        <f aca="false">IF(E83="","",IF(E83&gt;=150,"Yes","No"))</f>
        <v/>
      </c>
      <c r="I83" s="13" t="str">
        <f aca="false">IF(E83="","",IF(H83="Yes",E83*G83,0))</f>
        <v/>
      </c>
      <c r="J83" s="13" t="str">
        <f aca="false">IF(E83="","",E83-I83)</f>
        <v/>
      </c>
      <c r="K83" s="6"/>
      <c r="L83" s="6"/>
    </row>
    <row r="84" customFormat="false" ht="15" hidden="false" customHeight="false" outlineLevel="0" collapsed="false">
      <c r="A84" s="11"/>
      <c r="B84" s="6"/>
      <c r="C84" s="12" t="str">
        <f aca="false">IF(B84="","",IFERROR(INDEX('Qualifier Registry'!$B$4:$B$103,MATCH(B84,'Qualifier Registry'!$A$4:$A$103,0)),"Not found"))</f>
        <v/>
      </c>
      <c r="D84" s="6"/>
      <c r="E84" s="13" t="str">
        <f aca="false">IF(D84="","",IFERROR(INDEX('Reference Tables'!$B$3:$B$8,MATCH(D84,'Reference Tables'!$A$3:$A$8,0)),"Invalid package"))</f>
        <v/>
      </c>
      <c r="F84" s="12" t="str">
        <f aca="false">IF(D84="","",IFERROR(INDEX('Reference Tables'!$C$3:$C$8,MATCH(D84,'Reference Tables'!$A$3:$A$8,0)),"Invalid package"))</f>
        <v/>
      </c>
      <c r="G84" s="14" t="str">
        <f aca="false">IF(E84="","",'Reference Tables'!$C$13)</f>
        <v/>
      </c>
      <c r="H84" s="12" t="str">
        <f aca="false">IF(E84="","",IF(E84&gt;=150,"Yes","No"))</f>
        <v/>
      </c>
      <c r="I84" s="13" t="str">
        <f aca="false">IF(E84="","",IF(H84="Yes",E84*G84,0))</f>
        <v/>
      </c>
      <c r="J84" s="13" t="str">
        <f aca="false">IF(E84="","",E84-I84)</f>
        <v/>
      </c>
      <c r="K84" s="6"/>
      <c r="L84" s="6"/>
    </row>
    <row r="85" customFormat="false" ht="15" hidden="false" customHeight="false" outlineLevel="0" collapsed="false">
      <c r="A85" s="11"/>
      <c r="B85" s="6"/>
      <c r="C85" s="12" t="str">
        <f aca="false">IF(B85="","",IFERROR(INDEX('Qualifier Registry'!$B$4:$B$103,MATCH(B85,'Qualifier Registry'!$A$4:$A$103,0)),"Not found"))</f>
        <v/>
      </c>
      <c r="D85" s="6"/>
      <c r="E85" s="13" t="str">
        <f aca="false">IF(D85="","",IFERROR(INDEX('Reference Tables'!$B$3:$B$8,MATCH(D85,'Reference Tables'!$A$3:$A$8,0)),"Invalid package"))</f>
        <v/>
      </c>
      <c r="F85" s="12" t="str">
        <f aca="false">IF(D85="","",IFERROR(INDEX('Reference Tables'!$C$3:$C$8,MATCH(D85,'Reference Tables'!$A$3:$A$8,0)),"Invalid package"))</f>
        <v/>
      </c>
      <c r="G85" s="14" t="str">
        <f aca="false">IF(E85="","",'Reference Tables'!$C$13)</f>
        <v/>
      </c>
      <c r="H85" s="12" t="str">
        <f aca="false">IF(E85="","",IF(E85&gt;=150,"Yes","No"))</f>
        <v/>
      </c>
      <c r="I85" s="13" t="str">
        <f aca="false">IF(E85="","",IF(H85="Yes",E85*G85,0))</f>
        <v/>
      </c>
      <c r="J85" s="13" t="str">
        <f aca="false">IF(E85="","",E85-I85)</f>
        <v/>
      </c>
      <c r="K85" s="6"/>
      <c r="L85" s="6"/>
    </row>
    <row r="86" customFormat="false" ht="15" hidden="false" customHeight="false" outlineLevel="0" collapsed="false">
      <c r="A86" s="11"/>
      <c r="B86" s="6"/>
      <c r="C86" s="12" t="str">
        <f aca="false">IF(B86="","",IFERROR(INDEX('Qualifier Registry'!$B$4:$B$103,MATCH(B86,'Qualifier Registry'!$A$4:$A$103,0)),"Not found"))</f>
        <v/>
      </c>
      <c r="D86" s="6"/>
      <c r="E86" s="13" t="str">
        <f aca="false">IF(D86="","",IFERROR(INDEX('Reference Tables'!$B$3:$B$8,MATCH(D86,'Reference Tables'!$A$3:$A$8,0)),"Invalid package"))</f>
        <v/>
      </c>
      <c r="F86" s="12" t="str">
        <f aca="false">IF(D86="","",IFERROR(INDEX('Reference Tables'!$C$3:$C$8,MATCH(D86,'Reference Tables'!$A$3:$A$8,0)),"Invalid package"))</f>
        <v/>
      </c>
      <c r="G86" s="14" t="str">
        <f aca="false">IF(E86="","",'Reference Tables'!$C$13)</f>
        <v/>
      </c>
      <c r="H86" s="12" t="str">
        <f aca="false">IF(E86="","",IF(E86&gt;=150,"Yes","No"))</f>
        <v/>
      </c>
      <c r="I86" s="13" t="str">
        <f aca="false">IF(E86="","",IF(H86="Yes",E86*G86,0))</f>
        <v/>
      </c>
      <c r="J86" s="13" t="str">
        <f aca="false">IF(E86="","",E86-I86)</f>
        <v/>
      </c>
      <c r="K86" s="6"/>
      <c r="L86" s="6"/>
    </row>
    <row r="87" customFormat="false" ht="15" hidden="false" customHeight="false" outlineLevel="0" collapsed="false">
      <c r="A87" s="11"/>
      <c r="B87" s="6"/>
      <c r="C87" s="12" t="str">
        <f aca="false">IF(B87="","",IFERROR(INDEX('Qualifier Registry'!$B$4:$B$103,MATCH(B87,'Qualifier Registry'!$A$4:$A$103,0)),"Not found"))</f>
        <v/>
      </c>
      <c r="D87" s="6"/>
      <c r="E87" s="13" t="str">
        <f aca="false">IF(D87="","",IFERROR(INDEX('Reference Tables'!$B$3:$B$8,MATCH(D87,'Reference Tables'!$A$3:$A$8,0)),"Invalid package"))</f>
        <v/>
      </c>
      <c r="F87" s="12" t="str">
        <f aca="false">IF(D87="","",IFERROR(INDEX('Reference Tables'!$C$3:$C$8,MATCH(D87,'Reference Tables'!$A$3:$A$8,0)),"Invalid package"))</f>
        <v/>
      </c>
      <c r="G87" s="14" t="str">
        <f aca="false">IF(E87="","",'Reference Tables'!$C$13)</f>
        <v/>
      </c>
      <c r="H87" s="12" t="str">
        <f aca="false">IF(E87="","",IF(E87&gt;=150,"Yes","No"))</f>
        <v/>
      </c>
      <c r="I87" s="13" t="str">
        <f aca="false">IF(E87="","",IF(H87="Yes",E87*G87,0))</f>
        <v/>
      </c>
      <c r="J87" s="13" t="str">
        <f aca="false">IF(E87="","",E87-I87)</f>
        <v/>
      </c>
      <c r="K87" s="6"/>
      <c r="L87" s="6"/>
    </row>
    <row r="88" customFormat="false" ht="15" hidden="false" customHeight="false" outlineLevel="0" collapsed="false">
      <c r="A88" s="11"/>
      <c r="B88" s="6"/>
      <c r="C88" s="12" t="str">
        <f aca="false">IF(B88="","",IFERROR(INDEX('Qualifier Registry'!$B$4:$B$103,MATCH(B88,'Qualifier Registry'!$A$4:$A$103,0)),"Not found"))</f>
        <v/>
      </c>
      <c r="D88" s="6"/>
      <c r="E88" s="13" t="str">
        <f aca="false">IF(D88="","",IFERROR(INDEX('Reference Tables'!$B$3:$B$8,MATCH(D88,'Reference Tables'!$A$3:$A$8,0)),"Invalid package"))</f>
        <v/>
      </c>
      <c r="F88" s="12" t="str">
        <f aca="false">IF(D88="","",IFERROR(INDEX('Reference Tables'!$C$3:$C$8,MATCH(D88,'Reference Tables'!$A$3:$A$8,0)),"Invalid package"))</f>
        <v/>
      </c>
      <c r="G88" s="14" t="str">
        <f aca="false">IF(E88="","",'Reference Tables'!$C$13)</f>
        <v/>
      </c>
      <c r="H88" s="12" t="str">
        <f aca="false">IF(E88="","",IF(E88&gt;=150,"Yes","No"))</f>
        <v/>
      </c>
      <c r="I88" s="13" t="str">
        <f aca="false">IF(E88="","",IF(H88="Yes",E88*G88,0))</f>
        <v/>
      </c>
      <c r="J88" s="13" t="str">
        <f aca="false">IF(E88="","",E88-I88)</f>
        <v/>
      </c>
      <c r="K88" s="6"/>
      <c r="L88" s="6"/>
    </row>
    <row r="89" customFormat="false" ht="15" hidden="false" customHeight="false" outlineLevel="0" collapsed="false">
      <c r="A89" s="11"/>
      <c r="B89" s="6"/>
      <c r="C89" s="12" t="str">
        <f aca="false">IF(B89="","",IFERROR(INDEX('Qualifier Registry'!$B$4:$B$103,MATCH(B89,'Qualifier Registry'!$A$4:$A$103,0)),"Not found"))</f>
        <v/>
      </c>
      <c r="D89" s="6"/>
      <c r="E89" s="13" t="str">
        <f aca="false">IF(D89="","",IFERROR(INDEX('Reference Tables'!$B$3:$B$8,MATCH(D89,'Reference Tables'!$A$3:$A$8,0)),"Invalid package"))</f>
        <v/>
      </c>
      <c r="F89" s="12" t="str">
        <f aca="false">IF(D89="","",IFERROR(INDEX('Reference Tables'!$C$3:$C$8,MATCH(D89,'Reference Tables'!$A$3:$A$8,0)),"Invalid package"))</f>
        <v/>
      </c>
      <c r="G89" s="14" t="str">
        <f aca="false">IF(E89="","",'Reference Tables'!$C$13)</f>
        <v/>
      </c>
      <c r="H89" s="12" t="str">
        <f aca="false">IF(E89="","",IF(E89&gt;=150,"Yes","No"))</f>
        <v/>
      </c>
      <c r="I89" s="13" t="str">
        <f aca="false">IF(E89="","",IF(H89="Yes",E89*G89,0))</f>
        <v/>
      </c>
      <c r="J89" s="13" t="str">
        <f aca="false">IF(E89="","",E89-I89)</f>
        <v/>
      </c>
      <c r="K89" s="6"/>
      <c r="L89" s="6"/>
    </row>
    <row r="90" customFormat="false" ht="15" hidden="false" customHeight="false" outlineLevel="0" collapsed="false">
      <c r="A90" s="11"/>
      <c r="B90" s="6"/>
      <c r="C90" s="12" t="str">
        <f aca="false">IF(B90="","",IFERROR(INDEX('Qualifier Registry'!$B$4:$B$103,MATCH(B90,'Qualifier Registry'!$A$4:$A$103,0)),"Not found"))</f>
        <v/>
      </c>
      <c r="D90" s="6"/>
      <c r="E90" s="13" t="str">
        <f aca="false">IF(D90="","",IFERROR(INDEX('Reference Tables'!$B$3:$B$8,MATCH(D90,'Reference Tables'!$A$3:$A$8,0)),"Invalid package"))</f>
        <v/>
      </c>
      <c r="F90" s="12" t="str">
        <f aca="false">IF(D90="","",IFERROR(INDEX('Reference Tables'!$C$3:$C$8,MATCH(D90,'Reference Tables'!$A$3:$A$8,0)),"Invalid package"))</f>
        <v/>
      </c>
      <c r="G90" s="14" t="str">
        <f aca="false">IF(E90="","",'Reference Tables'!$C$13)</f>
        <v/>
      </c>
      <c r="H90" s="12" t="str">
        <f aca="false">IF(E90="","",IF(E90&gt;=150,"Yes","No"))</f>
        <v/>
      </c>
      <c r="I90" s="13" t="str">
        <f aca="false">IF(E90="","",IF(H90="Yes",E90*G90,0))</f>
        <v/>
      </c>
      <c r="J90" s="13" t="str">
        <f aca="false">IF(E90="","",E90-I90)</f>
        <v/>
      </c>
      <c r="K90" s="6"/>
      <c r="L90" s="6"/>
    </row>
    <row r="91" customFormat="false" ht="15" hidden="false" customHeight="false" outlineLevel="0" collapsed="false">
      <c r="A91" s="11"/>
      <c r="B91" s="6"/>
      <c r="C91" s="12" t="str">
        <f aca="false">IF(B91="","",IFERROR(INDEX('Qualifier Registry'!$B$4:$B$103,MATCH(B91,'Qualifier Registry'!$A$4:$A$103,0)),"Not found"))</f>
        <v/>
      </c>
      <c r="D91" s="6"/>
      <c r="E91" s="13" t="str">
        <f aca="false">IF(D91="","",IFERROR(INDEX('Reference Tables'!$B$3:$B$8,MATCH(D91,'Reference Tables'!$A$3:$A$8,0)),"Invalid package"))</f>
        <v/>
      </c>
      <c r="F91" s="12" t="str">
        <f aca="false">IF(D91="","",IFERROR(INDEX('Reference Tables'!$C$3:$C$8,MATCH(D91,'Reference Tables'!$A$3:$A$8,0)),"Invalid package"))</f>
        <v/>
      </c>
      <c r="G91" s="14" t="str">
        <f aca="false">IF(E91="","",'Reference Tables'!$C$13)</f>
        <v/>
      </c>
      <c r="H91" s="12" t="str">
        <f aca="false">IF(E91="","",IF(E91&gt;=150,"Yes","No"))</f>
        <v/>
      </c>
      <c r="I91" s="13" t="str">
        <f aca="false">IF(E91="","",IF(H91="Yes",E91*G91,0))</f>
        <v/>
      </c>
      <c r="J91" s="13" t="str">
        <f aca="false">IF(E91="","",E91-I91)</f>
        <v/>
      </c>
      <c r="K91" s="6"/>
      <c r="L91" s="6"/>
    </row>
    <row r="92" customFormat="false" ht="15" hidden="false" customHeight="false" outlineLevel="0" collapsed="false">
      <c r="A92" s="11"/>
      <c r="B92" s="6"/>
      <c r="C92" s="12" t="str">
        <f aca="false">IF(B92="","",IFERROR(INDEX('Qualifier Registry'!$B$4:$B$103,MATCH(B92,'Qualifier Registry'!$A$4:$A$103,0)),"Not found"))</f>
        <v/>
      </c>
      <c r="D92" s="6"/>
      <c r="E92" s="13" t="str">
        <f aca="false">IF(D92="","",IFERROR(INDEX('Reference Tables'!$B$3:$B$8,MATCH(D92,'Reference Tables'!$A$3:$A$8,0)),"Invalid package"))</f>
        <v/>
      </c>
      <c r="F92" s="12" t="str">
        <f aca="false">IF(D92="","",IFERROR(INDEX('Reference Tables'!$C$3:$C$8,MATCH(D92,'Reference Tables'!$A$3:$A$8,0)),"Invalid package"))</f>
        <v/>
      </c>
      <c r="G92" s="14" t="str">
        <f aca="false">IF(E92="","",'Reference Tables'!$C$13)</f>
        <v/>
      </c>
      <c r="H92" s="12" t="str">
        <f aca="false">IF(E92="","",IF(E92&gt;=150,"Yes","No"))</f>
        <v/>
      </c>
      <c r="I92" s="13" t="str">
        <f aca="false">IF(E92="","",IF(H92="Yes",E92*G92,0))</f>
        <v/>
      </c>
      <c r="J92" s="13" t="str">
        <f aca="false">IF(E92="","",E92-I92)</f>
        <v/>
      </c>
      <c r="K92" s="6"/>
      <c r="L92" s="6"/>
    </row>
    <row r="93" customFormat="false" ht="15" hidden="false" customHeight="false" outlineLevel="0" collapsed="false">
      <c r="A93" s="11"/>
      <c r="B93" s="6"/>
      <c r="C93" s="12" t="str">
        <f aca="false">IF(B93="","",IFERROR(INDEX('Qualifier Registry'!$B$4:$B$103,MATCH(B93,'Qualifier Registry'!$A$4:$A$103,0)),"Not found"))</f>
        <v/>
      </c>
      <c r="D93" s="6"/>
      <c r="E93" s="13" t="str">
        <f aca="false">IF(D93="","",IFERROR(INDEX('Reference Tables'!$B$3:$B$8,MATCH(D93,'Reference Tables'!$A$3:$A$8,0)),"Invalid package"))</f>
        <v/>
      </c>
      <c r="F93" s="12" t="str">
        <f aca="false">IF(D93="","",IFERROR(INDEX('Reference Tables'!$C$3:$C$8,MATCH(D93,'Reference Tables'!$A$3:$A$8,0)),"Invalid package"))</f>
        <v/>
      </c>
      <c r="G93" s="14" t="str">
        <f aca="false">IF(E93="","",'Reference Tables'!$C$13)</f>
        <v/>
      </c>
      <c r="H93" s="12" t="str">
        <f aca="false">IF(E93="","",IF(E93&gt;=150,"Yes","No"))</f>
        <v/>
      </c>
      <c r="I93" s="13" t="str">
        <f aca="false">IF(E93="","",IF(H93="Yes",E93*G93,0))</f>
        <v/>
      </c>
      <c r="J93" s="13" t="str">
        <f aca="false">IF(E93="","",E93-I93)</f>
        <v/>
      </c>
      <c r="K93" s="6"/>
      <c r="L93" s="6"/>
    </row>
    <row r="94" customFormat="false" ht="15" hidden="false" customHeight="false" outlineLevel="0" collapsed="false">
      <c r="A94" s="11"/>
      <c r="B94" s="6"/>
      <c r="C94" s="12" t="str">
        <f aca="false">IF(B94="","",IFERROR(INDEX('Qualifier Registry'!$B$4:$B$103,MATCH(B94,'Qualifier Registry'!$A$4:$A$103,0)),"Not found"))</f>
        <v/>
      </c>
      <c r="D94" s="6"/>
      <c r="E94" s="13" t="str">
        <f aca="false">IF(D94="","",IFERROR(INDEX('Reference Tables'!$B$3:$B$8,MATCH(D94,'Reference Tables'!$A$3:$A$8,0)),"Invalid package"))</f>
        <v/>
      </c>
      <c r="F94" s="12" t="str">
        <f aca="false">IF(D94="","",IFERROR(INDEX('Reference Tables'!$C$3:$C$8,MATCH(D94,'Reference Tables'!$A$3:$A$8,0)),"Invalid package"))</f>
        <v/>
      </c>
      <c r="G94" s="14" t="str">
        <f aca="false">IF(E94="","",'Reference Tables'!$C$13)</f>
        <v/>
      </c>
      <c r="H94" s="12" t="str">
        <f aca="false">IF(E94="","",IF(E94&gt;=150,"Yes","No"))</f>
        <v/>
      </c>
      <c r="I94" s="13" t="str">
        <f aca="false">IF(E94="","",IF(H94="Yes",E94*G94,0))</f>
        <v/>
      </c>
      <c r="J94" s="13" t="str">
        <f aca="false">IF(E94="","",E94-I94)</f>
        <v/>
      </c>
      <c r="K94" s="6"/>
      <c r="L94" s="6"/>
    </row>
    <row r="95" customFormat="false" ht="15" hidden="false" customHeight="false" outlineLevel="0" collapsed="false">
      <c r="A95" s="11"/>
      <c r="B95" s="6"/>
      <c r="C95" s="12" t="str">
        <f aca="false">IF(B95="","",IFERROR(INDEX('Qualifier Registry'!$B$4:$B$103,MATCH(B95,'Qualifier Registry'!$A$4:$A$103,0)),"Not found"))</f>
        <v/>
      </c>
      <c r="D95" s="6"/>
      <c r="E95" s="13" t="str">
        <f aca="false">IF(D95="","",IFERROR(INDEX('Reference Tables'!$B$3:$B$8,MATCH(D95,'Reference Tables'!$A$3:$A$8,0)),"Invalid package"))</f>
        <v/>
      </c>
      <c r="F95" s="12" t="str">
        <f aca="false">IF(D95="","",IFERROR(INDEX('Reference Tables'!$C$3:$C$8,MATCH(D95,'Reference Tables'!$A$3:$A$8,0)),"Invalid package"))</f>
        <v/>
      </c>
      <c r="G95" s="14" t="str">
        <f aca="false">IF(E95="","",'Reference Tables'!$C$13)</f>
        <v/>
      </c>
      <c r="H95" s="12" t="str">
        <f aca="false">IF(E95="","",IF(E95&gt;=150,"Yes","No"))</f>
        <v/>
      </c>
      <c r="I95" s="13" t="str">
        <f aca="false">IF(E95="","",IF(H95="Yes",E95*G95,0))</f>
        <v/>
      </c>
      <c r="J95" s="13" t="str">
        <f aca="false">IF(E95="","",E95-I95)</f>
        <v/>
      </c>
      <c r="K95" s="6"/>
      <c r="L95" s="6"/>
    </row>
    <row r="96" customFormat="false" ht="15" hidden="false" customHeight="false" outlineLevel="0" collapsed="false">
      <c r="A96" s="11"/>
      <c r="B96" s="6"/>
      <c r="C96" s="12" t="str">
        <f aca="false">IF(B96="","",IFERROR(INDEX('Qualifier Registry'!$B$4:$B$103,MATCH(B96,'Qualifier Registry'!$A$4:$A$103,0)),"Not found"))</f>
        <v/>
      </c>
      <c r="D96" s="6"/>
      <c r="E96" s="13" t="str">
        <f aca="false">IF(D96="","",IFERROR(INDEX('Reference Tables'!$B$3:$B$8,MATCH(D96,'Reference Tables'!$A$3:$A$8,0)),"Invalid package"))</f>
        <v/>
      </c>
      <c r="F96" s="12" t="str">
        <f aca="false">IF(D96="","",IFERROR(INDEX('Reference Tables'!$C$3:$C$8,MATCH(D96,'Reference Tables'!$A$3:$A$8,0)),"Invalid package"))</f>
        <v/>
      </c>
      <c r="G96" s="14" t="str">
        <f aca="false">IF(E96="","",'Reference Tables'!$C$13)</f>
        <v/>
      </c>
      <c r="H96" s="12" t="str">
        <f aca="false">IF(E96="","",IF(E96&gt;=150,"Yes","No"))</f>
        <v/>
      </c>
      <c r="I96" s="13" t="str">
        <f aca="false">IF(E96="","",IF(H96="Yes",E96*G96,0))</f>
        <v/>
      </c>
      <c r="J96" s="13" t="str">
        <f aca="false">IF(E96="","",E96-I96)</f>
        <v/>
      </c>
      <c r="K96" s="6"/>
      <c r="L96" s="6"/>
    </row>
    <row r="97" customFormat="false" ht="15" hidden="false" customHeight="false" outlineLevel="0" collapsed="false">
      <c r="A97" s="11"/>
      <c r="B97" s="6"/>
      <c r="C97" s="12" t="str">
        <f aca="false">IF(B97="","",IFERROR(INDEX('Qualifier Registry'!$B$4:$B$103,MATCH(B97,'Qualifier Registry'!$A$4:$A$103,0)),"Not found"))</f>
        <v/>
      </c>
      <c r="D97" s="6"/>
      <c r="E97" s="13" t="str">
        <f aca="false">IF(D97="","",IFERROR(INDEX('Reference Tables'!$B$3:$B$8,MATCH(D97,'Reference Tables'!$A$3:$A$8,0)),"Invalid package"))</f>
        <v/>
      </c>
      <c r="F97" s="12" t="str">
        <f aca="false">IF(D97="","",IFERROR(INDEX('Reference Tables'!$C$3:$C$8,MATCH(D97,'Reference Tables'!$A$3:$A$8,0)),"Invalid package"))</f>
        <v/>
      </c>
      <c r="G97" s="14" t="str">
        <f aca="false">IF(E97="","",'Reference Tables'!$C$13)</f>
        <v/>
      </c>
      <c r="H97" s="12" t="str">
        <f aca="false">IF(E97="","",IF(E97&gt;=150,"Yes","No"))</f>
        <v/>
      </c>
      <c r="I97" s="13" t="str">
        <f aca="false">IF(E97="","",IF(H97="Yes",E97*G97,0))</f>
        <v/>
      </c>
      <c r="J97" s="13" t="str">
        <f aca="false">IF(E97="","",E97-I97)</f>
        <v/>
      </c>
      <c r="K97" s="6"/>
      <c r="L97" s="6"/>
    </row>
    <row r="98" customFormat="false" ht="15" hidden="false" customHeight="false" outlineLevel="0" collapsed="false">
      <c r="A98" s="11"/>
      <c r="B98" s="6"/>
      <c r="C98" s="12" t="str">
        <f aca="false">IF(B98="","",IFERROR(INDEX('Qualifier Registry'!$B$4:$B$103,MATCH(B98,'Qualifier Registry'!$A$4:$A$103,0)),"Not found"))</f>
        <v/>
      </c>
      <c r="D98" s="6"/>
      <c r="E98" s="13" t="str">
        <f aca="false">IF(D98="","",IFERROR(INDEX('Reference Tables'!$B$3:$B$8,MATCH(D98,'Reference Tables'!$A$3:$A$8,0)),"Invalid package"))</f>
        <v/>
      </c>
      <c r="F98" s="12" t="str">
        <f aca="false">IF(D98="","",IFERROR(INDEX('Reference Tables'!$C$3:$C$8,MATCH(D98,'Reference Tables'!$A$3:$A$8,0)),"Invalid package"))</f>
        <v/>
      </c>
      <c r="G98" s="14" t="str">
        <f aca="false">IF(E98="","",'Reference Tables'!$C$13)</f>
        <v/>
      </c>
      <c r="H98" s="12" t="str">
        <f aca="false">IF(E98="","",IF(E98&gt;=150,"Yes","No"))</f>
        <v/>
      </c>
      <c r="I98" s="13" t="str">
        <f aca="false">IF(E98="","",IF(H98="Yes",E98*G98,0))</f>
        <v/>
      </c>
      <c r="J98" s="13" t="str">
        <f aca="false">IF(E98="","",E98-I98)</f>
        <v/>
      </c>
      <c r="K98" s="6"/>
      <c r="L98" s="6"/>
    </row>
    <row r="99" customFormat="false" ht="15" hidden="false" customHeight="false" outlineLevel="0" collapsed="false">
      <c r="A99" s="11"/>
      <c r="B99" s="6"/>
      <c r="C99" s="12" t="str">
        <f aca="false">IF(B99="","",IFERROR(INDEX('Qualifier Registry'!$B$4:$B$103,MATCH(B99,'Qualifier Registry'!$A$4:$A$103,0)),"Not found"))</f>
        <v/>
      </c>
      <c r="D99" s="6"/>
      <c r="E99" s="13" t="str">
        <f aca="false">IF(D99="","",IFERROR(INDEX('Reference Tables'!$B$3:$B$8,MATCH(D99,'Reference Tables'!$A$3:$A$8,0)),"Invalid package"))</f>
        <v/>
      </c>
      <c r="F99" s="12" t="str">
        <f aca="false">IF(D99="","",IFERROR(INDEX('Reference Tables'!$C$3:$C$8,MATCH(D99,'Reference Tables'!$A$3:$A$8,0)),"Invalid package"))</f>
        <v/>
      </c>
      <c r="G99" s="14" t="str">
        <f aca="false">IF(E99="","",'Reference Tables'!$C$13)</f>
        <v/>
      </c>
      <c r="H99" s="12" t="str">
        <f aca="false">IF(E99="","",IF(E99&gt;=150,"Yes","No"))</f>
        <v/>
      </c>
      <c r="I99" s="13" t="str">
        <f aca="false">IF(E99="","",IF(H99="Yes",E99*G99,0))</f>
        <v/>
      </c>
      <c r="J99" s="13" t="str">
        <f aca="false">IF(E99="","",E99-I99)</f>
        <v/>
      </c>
      <c r="K99" s="6"/>
      <c r="L99" s="6"/>
    </row>
    <row r="100" customFormat="false" ht="15" hidden="false" customHeight="false" outlineLevel="0" collapsed="false">
      <c r="A100" s="11"/>
      <c r="B100" s="6"/>
      <c r="C100" s="12" t="str">
        <f aca="false">IF(B100="","",IFERROR(INDEX('Qualifier Registry'!$B$4:$B$103,MATCH(B100,'Qualifier Registry'!$A$4:$A$103,0)),"Not found"))</f>
        <v/>
      </c>
      <c r="D100" s="6"/>
      <c r="E100" s="13" t="str">
        <f aca="false">IF(D100="","",IFERROR(INDEX('Reference Tables'!$B$3:$B$8,MATCH(D100,'Reference Tables'!$A$3:$A$8,0)),"Invalid package"))</f>
        <v/>
      </c>
      <c r="F100" s="12" t="str">
        <f aca="false">IF(D100="","",IFERROR(INDEX('Reference Tables'!$C$3:$C$8,MATCH(D100,'Reference Tables'!$A$3:$A$8,0)),"Invalid package"))</f>
        <v/>
      </c>
      <c r="G100" s="14" t="str">
        <f aca="false">IF(E100="","",'Reference Tables'!$C$13)</f>
        <v/>
      </c>
      <c r="H100" s="12" t="str">
        <f aca="false">IF(E100="","",IF(E100&gt;=150,"Yes","No"))</f>
        <v/>
      </c>
      <c r="I100" s="13" t="str">
        <f aca="false">IF(E100="","",IF(H100="Yes",E100*G100,0))</f>
        <v/>
      </c>
      <c r="J100" s="13" t="str">
        <f aca="false">IF(E100="","",E100-I100)</f>
        <v/>
      </c>
      <c r="K100" s="6"/>
      <c r="L100" s="6"/>
    </row>
    <row r="101" customFormat="false" ht="15" hidden="false" customHeight="false" outlineLevel="0" collapsed="false">
      <c r="A101" s="11"/>
      <c r="B101" s="6"/>
      <c r="C101" s="12" t="str">
        <f aca="false">IF(B101="","",IFERROR(INDEX('Qualifier Registry'!$B$4:$B$103,MATCH(B101,'Qualifier Registry'!$A$4:$A$103,0)),"Not found"))</f>
        <v/>
      </c>
      <c r="D101" s="6"/>
      <c r="E101" s="13" t="str">
        <f aca="false">IF(D101="","",IFERROR(INDEX('Reference Tables'!$B$3:$B$8,MATCH(D101,'Reference Tables'!$A$3:$A$8,0)),"Invalid package"))</f>
        <v/>
      </c>
      <c r="F101" s="12" t="str">
        <f aca="false">IF(D101="","",IFERROR(INDEX('Reference Tables'!$C$3:$C$8,MATCH(D101,'Reference Tables'!$A$3:$A$8,0)),"Invalid package"))</f>
        <v/>
      </c>
      <c r="G101" s="14" t="str">
        <f aca="false">IF(E101="","",'Reference Tables'!$C$13)</f>
        <v/>
      </c>
      <c r="H101" s="12" t="str">
        <f aca="false">IF(E101="","",IF(E101&gt;=150,"Yes","No"))</f>
        <v/>
      </c>
      <c r="I101" s="13" t="str">
        <f aca="false">IF(E101="","",IF(H101="Yes",E101*G101,0))</f>
        <v/>
      </c>
      <c r="J101" s="13" t="str">
        <f aca="false">IF(E101="","",E101-I101)</f>
        <v/>
      </c>
      <c r="K101" s="6"/>
      <c r="L101" s="6"/>
    </row>
    <row r="102" customFormat="false" ht="15" hidden="false" customHeight="false" outlineLevel="0" collapsed="false">
      <c r="A102" s="11"/>
      <c r="B102" s="6"/>
      <c r="C102" s="12" t="str">
        <f aca="false">IF(B102="","",IFERROR(INDEX('Qualifier Registry'!$B$4:$B$103,MATCH(B102,'Qualifier Registry'!$A$4:$A$103,0)),"Not found"))</f>
        <v/>
      </c>
      <c r="D102" s="6"/>
      <c r="E102" s="13" t="str">
        <f aca="false">IF(D102="","",IFERROR(INDEX('Reference Tables'!$B$3:$B$8,MATCH(D102,'Reference Tables'!$A$3:$A$8,0)),"Invalid package"))</f>
        <v/>
      </c>
      <c r="F102" s="12" t="str">
        <f aca="false">IF(D102="","",IFERROR(INDEX('Reference Tables'!$C$3:$C$8,MATCH(D102,'Reference Tables'!$A$3:$A$8,0)),"Invalid package"))</f>
        <v/>
      </c>
      <c r="G102" s="14" t="str">
        <f aca="false">IF(E102="","",'Reference Tables'!$C$13)</f>
        <v/>
      </c>
      <c r="H102" s="12" t="str">
        <f aca="false">IF(E102="","",IF(E102&gt;=150,"Yes","No"))</f>
        <v/>
      </c>
      <c r="I102" s="13" t="str">
        <f aca="false">IF(E102="","",IF(H102="Yes",E102*G102,0))</f>
        <v/>
      </c>
      <c r="J102" s="13" t="str">
        <f aca="false">IF(E102="","",E102-I102)</f>
        <v/>
      </c>
      <c r="K102" s="6"/>
      <c r="L102" s="6"/>
    </row>
    <row r="103" customFormat="false" ht="15" hidden="false" customHeight="false" outlineLevel="0" collapsed="false">
      <c r="A103" s="11"/>
      <c r="B103" s="6"/>
      <c r="C103" s="12" t="str">
        <f aca="false">IF(B103="","",IFERROR(INDEX('Qualifier Registry'!$B$4:$B$103,MATCH(B103,'Qualifier Registry'!$A$4:$A$103,0)),"Not found"))</f>
        <v/>
      </c>
      <c r="D103" s="6"/>
      <c r="E103" s="13" t="str">
        <f aca="false">IF(D103="","",IFERROR(INDEX('Reference Tables'!$B$3:$B$8,MATCH(D103,'Reference Tables'!$A$3:$A$8,0)),"Invalid package"))</f>
        <v/>
      </c>
      <c r="F103" s="12" t="str">
        <f aca="false">IF(D103="","",IFERROR(INDEX('Reference Tables'!$C$3:$C$8,MATCH(D103,'Reference Tables'!$A$3:$A$8,0)),"Invalid package"))</f>
        <v/>
      </c>
      <c r="G103" s="14" t="str">
        <f aca="false">IF(E103="","",'Reference Tables'!$C$13)</f>
        <v/>
      </c>
      <c r="H103" s="12" t="str">
        <f aca="false">IF(E103="","",IF(E103&gt;=150,"Yes","No"))</f>
        <v/>
      </c>
      <c r="I103" s="13" t="str">
        <f aca="false">IF(E103="","",IF(H103="Yes",E103*G103,0))</f>
        <v/>
      </c>
      <c r="J103" s="13" t="str">
        <f aca="false">IF(E103="","",E103-I103)</f>
        <v/>
      </c>
      <c r="K103" s="6"/>
      <c r="L103" s="6"/>
    </row>
    <row r="104" customFormat="false" ht="15" hidden="false" customHeight="false" outlineLevel="0" collapsed="false">
      <c r="A104" s="11"/>
      <c r="B104" s="6"/>
      <c r="C104" s="12" t="str">
        <f aca="false">IF(B104="","",IFERROR(INDEX('Qualifier Registry'!$B$4:$B$103,MATCH(B104,'Qualifier Registry'!$A$4:$A$103,0)),"Not found"))</f>
        <v/>
      </c>
      <c r="D104" s="6"/>
      <c r="E104" s="13" t="str">
        <f aca="false">IF(D104="","",IFERROR(INDEX('Reference Tables'!$B$3:$B$8,MATCH(D104,'Reference Tables'!$A$3:$A$8,0)),"Invalid package"))</f>
        <v/>
      </c>
      <c r="F104" s="12" t="str">
        <f aca="false">IF(D104="","",IFERROR(INDEX('Reference Tables'!$C$3:$C$8,MATCH(D104,'Reference Tables'!$A$3:$A$8,0)),"Invalid package"))</f>
        <v/>
      </c>
      <c r="G104" s="14" t="str">
        <f aca="false">IF(E104="","",'Reference Tables'!$C$13)</f>
        <v/>
      </c>
      <c r="H104" s="12" t="str">
        <f aca="false">IF(E104="","",IF(E104&gt;=150,"Yes","No"))</f>
        <v/>
      </c>
      <c r="I104" s="13" t="str">
        <f aca="false">IF(E104="","",IF(H104="Yes",E104*G104,0))</f>
        <v/>
      </c>
      <c r="J104" s="13" t="str">
        <f aca="false">IF(E104="","",E104-I104)</f>
        <v/>
      </c>
      <c r="K104" s="6"/>
      <c r="L104" s="6"/>
    </row>
    <row r="105" customFormat="false" ht="15" hidden="false" customHeight="false" outlineLevel="0" collapsed="false">
      <c r="A105" s="11"/>
      <c r="B105" s="6"/>
      <c r="C105" s="12" t="str">
        <f aca="false">IF(B105="","",IFERROR(INDEX('Qualifier Registry'!$B$4:$B$103,MATCH(B105,'Qualifier Registry'!$A$4:$A$103,0)),"Not found"))</f>
        <v/>
      </c>
      <c r="D105" s="6"/>
      <c r="E105" s="13" t="str">
        <f aca="false">IF(D105="","",IFERROR(INDEX('Reference Tables'!$B$3:$B$8,MATCH(D105,'Reference Tables'!$A$3:$A$8,0)),"Invalid package"))</f>
        <v/>
      </c>
      <c r="F105" s="12" t="str">
        <f aca="false">IF(D105="","",IFERROR(INDEX('Reference Tables'!$C$3:$C$8,MATCH(D105,'Reference Tables'!$A$3:$A$8,0)),"Invalid package"))</f>
        <v/>
      </c>
      <c r="G105" s="14" t="str">
        <f aca="false">IF(E105="","",'Reference Tables'!$C$13)</f>
        <v/>
      </c>
      <c r="H105" s="12" t="str">
        <f aca="false">IF(E105="","",IF(E105&gt;=150,"Yes","No"))</f>
        <v/>
      </c>
      <c r="I105" s="13" t="str">
        <f aca="false">IF(E105="","",IF(H105="Yes",E105*G105,0))</f>
        <v/>
      </c>
      <c r="J105" s="13" t="str">
        <f aca="false">IF(E105="","",E105-I105)</f>
        <v/>
      </c>
      <c r="K105" s="6"/>
      <c r="L105" s="6"/>
    </row>
    <row r="106" customFormat="false" ht="15" hidden="false" customHeight="false" outlineLevel="0" collapsed="false">
      <c r="A106" s="11"/>
      <c r="B106" s="6"/>
      <c r="C106" s="12" t="str">
        <f aca="false">IF(B106="","",IFERROR(INDEX('Qualifier Registry'!$B$4:$B$103,MATCH(B106,'Qualifier Registry'!$A$4:$A$103,0)),"Not found"))</f>
        <v/>
      </c>
      <c r="D106" s="6"/>
      <c r="E106" s="13" t="str">
        <f aca="false">IF(D106="","",IFERROR(INDEX('Reference Tables'!$B$3:$B$8,MATCH(D106,'Reference Tables'!$A$3:$A$8,0)),"Invalid package"))</f>
        <v/>
      </c>
      <c r="F106" s="12" t="str">
        <f aca="false">IF(D106="","",IFERROR(INDEX('Reference Tables'!$C$3:$C$8,MATCH(D106,'Reference Tables'!$A$3:$A$8,0)),"Invalid package"))</f>
        <v/>
      </c>
      <c r="G106" s="14" t="str">
        <f aca="false">IF(E106="","",'Reference Tables'!$C$13)</f>
        <v/>
      </c>
      <c r="H106" s="12" t="str">
        <f aca="false">IF(E106="","",IF(E106&gt;=150,"Yes","No"))</f>
        <v/>
      </c>
      <c r="I106" s="13" t="str">
        <f aca="false">IF(E106="","",IF(H106="Yes",E106*G106,0))</f>
        <v/>
      </c>
      <c r="J106" s="13" t="str">
        <f aca="false">IF(E106="","",E106-I106)</f>
        <v/>
      </c>
      <c r="K106" s="6"/>
      <c r="L106" s="6"/>
    </row>
    <row r="107" customFormat="false" ht="15" hidden="false" customHeight="false" outlineLevel="0" collapsed="false">
      <c r="A107" s="11"/>
      <c r="B107" s="6"/>
      <c r="C107" s="12" t="str">
        <f aca="false">IF(B107="","",IFERROR(INDEX('Qualifier Registry'!$B$4:$B$103,MATCH(B107,'Qualifier Registry'!$A$4:$A$103,0)),"Not found"))</f>
        <v/>
      </c>
      <c r="D107" s="6"/>
      <c r="E107" s="13" t="str">
        <f aca="false">IF(D107="","",IFERROR(INDEX('Reference Tables'!$B$3:$B$8,MATCH(D107,'Reference Tables'!$A$3:$A$8,0)),"Invalid package"))</f>
        <v/>
      </c>
      <c r="F107" s="12" t="str">
        <f aca="false">IF(D107="","",IFERROR(INDEX('Reference Tables'!$C$3:$C$8,MATCH(D107,'Reference Tables'!$A$3:$A$8,0)),"Invalid package"))</f>
        <v/>
      </c>
      <c r="G107" s="14" t="str">
        <f aca="false">IF(E107="","",'Reference Tables'!$C$13)</f>
        <v/>
      </c>
      <c r="H107" s="12" t="str">
        <f aca="false">IF(E107="","",IF(E107&gt;=150,"Yes","No"))</f>
        <v/>
      </c>
      <c r="I107" s="13" t="str">
        <f aca="false">IF(E107="","",IF(H107="Yes",E107*G107,0))</f>
        <v/>
      </c>
      <c r="J107" s="13" t="str">
        <f aca="false">IF(E107="","",E107-I107)</f>
        <v/>
      </c>
      <c r="K107" s="6"/>
      <c r="L107" s="6"/>
    </row>
    <row r="108" customFormat="false" ht="15" hidden="false" customHeight="false" outlineLevel="0" collapsed="false">
      <c r="A108" s="11"/>
      <c r="B108" s="6"/>
      <c r="C108" s="12" t="str">
        <f aca="false">IF(B108="","",IFERROR(INDEX('Qualifier Registry'!$B$4:$B$103,MATCH(B108,'Qualifier Registry'!$A$4:$A$103,0)),"Not found"))</f>
        <v/>
      </c>
      <c r="D108" s="6"/>
      <c r="E108" s="13" t="str">
        <f aca="false">IF(D108="","",IFERROR(INDEX('Reference Tables'!$B$3:$B$8,MATCH(D108,'Reference Tables'!$A$3:$A$8,0)),"Invalid package"))</f>
        <v/>
      </c>
      <c r="F108" s="12" t="str">
        <f aca="false">IF(D108="","",IFERROR(INDEX('Reference Tables'!$C$3:$C$8,MATCH(D108,'Reference Tables'!$A$3:$A$8,0)),"Invalid package"))</f>
        <v/>
      </c>
      <c r="G108" s="14" t="str">
        <f aca="false">IF(E108="","",'Reference Tables'!$C$13)</f>
        <v/>
      </c>
      <c r="H108" s="12" t="str">
        <f aca="false">IF(E108="","",IF(E108&gt;=150,"Yes","No"))</f>
        <v/>
      </c>
      <c r="I108" s="13" t="str">
        <f aca="false">IF(E108="","",IF(H108="Yes",E108*G108,0))</f>
        <v/>
      </c>
      <c r="J108" s="13" t="str">
        <f aca="false">IF(E108="","",E108-I108)</f>
        <v/>
      </c>
      <c r="K108" s="6"/>
      <c r="L108" s="6"/>
    </row>
    <row r="109" customFormat="false" ht="15" hidden="false" customHeight="false" outlineLevel="0" collapsed="false">
      <c r="A109" s="11"/>
      <c r="B109" s="6"/>
      <c r="C109" s="12" t="str">
        <f aca="false">IF(B109="","",IFERROR(INDEX('Qualifier Registry'!$B$4:$B$103,MATCH(B109,'Qualifier Registry'!$A$4:$A$103,0)),"Not found"))</f>
        <v/>
      </c>
      <c r="D109" s="6"/>
      <c r="E109" s="13" t="str">
        <f aca="false">IF(D109="","",IFERROR(INDEX('Reference Tables'!$B$3:$B$8,MATCH(D109,'Reference Tables'!$A$3:$A$8,0)),"Invalid package"))</f>
        <v/>
      </c>
      <c r="F109" s="12" t="str">
        <f aca="false">IF(D109="","",IFERROR(INDEX('Reference Tables'!$C$3:$C$8,MATCH(D109,'Reference Tables'!$A$3:$A$8,0)),"Invalid package"))</f>
        <v/>
      </c>
      <c r="G109" s="14" t="str">
        <f aca="false">IF(E109="","",'Reference Tables'!$C$13)</f>
        <v/>
      </c>
      <c r="H109" s="12" t="str">
        <f aca="false">IF(E109="","",IF(E109&gt;=150,"Yes","No"))</f>
        <v/>
      </c>
      <c r="I109" s="13" t="str">
        <f aca="false">IF(E109="","",IF(H109="Yes",E109*G109,0))</f>
        <v/>
      </c>
      <c r="J109" s="13" t="str">
        <f aca="false">IF(E109="","",E109-I109)</f>
        <v/>
      </c>
      <c r="K109" s="6"/>
      <c r="L109" s="6"/>
    </row>
    <row r="110" customFormat="false" ht="15" hidden="false" customHeight="false" outlineLevel="0" collapsed="false">
      <c r="A110" s="11"/>
      <c r="B110" s="6"/>
      <c r="C110" s="12" t="str">
        <f aca="false">IF(B110="","",IFERROR(INDEX('Qualifier Registry'!$B$4:$B$103,MATCH(B110,'Qualifier Registry'!$A$4:$A$103,0)),"Not found"))</f>
        <v/>
      </c>
      <c r="D110" s="6"/>
      <c r="E110" s="13" t="str">
        <f aca="false">IF(D110="","",IFERROR(INDEX('Reference Tables'!$B$3:$B$8,MATCH(D110,'Reference Tables'!$A$3:$A$8,0)),"Invalid package"))</f>
        <v/>
      </c>
      <c r="F110" s="12" t="str">
        <f aca="false">IF(D110="","",IFERROR(INDEX('Reference Tables'!$C$3:$C$8,MATCH(D110,'Reference Tables'!$A$3:$A$8,0)),"Invalid package"))</f>
        <v/>
      </c>
      <c r="G110" s="14" t="str">
        <f aca="false">IF(E110="","",'Reference Tables'!$C$13)</f>
        <v/>
      </c>
      <c r="H110" s="12" t="str">
        <f aca="false">IF(E110="","",IF(E110&gt;=150,"Yes","No"))</f>
        <v/>
      </c>
      <c r="I110" s="13" t="str">
        <f aca="false">IF(E110="","",IF(H110="Yes",E110*G110,0))</f>
        <v/>
      </c>
      <c r="J110" s="13" t="str">
        <f aca="false">IF(E110="","",E110-I110)</f>
        <v/>
      </c>
      <c r="K110" s="6"/>
      <c r="L110" s="6"/>
    </row>
    <row r="111" customFormat="false" ht="15" hidden="false" customHeight="false" outlineLevel="0" collapsed="false">
      <c r="A111" s="11"/>
      <c r="B111" s="6"/>
      <c r="C111" s="12" t="str">
        <f aca="false">IF(B111="","",IFERROR(INDEX('Qualifier Registry'!$B$4:$B$103,MATCH(B111,'Qualifier Registry'!$A$4:$A$103,0)),"Not found"))</f>
        <v/>
      </c>
      <c r="D111" s="6"/>
      <c r="E111" s="13" t="str">
        <f aca="false">IF(D111="","",IFERROR(INDEX('Reference Tables'!$B$3:$B$8,MATCH(D111,'Reference Tables'!$A$3:$A$8,0)),"Invalid package"))</f>
        <v/>
      </c>
      <c r="F111" s="12" t="str">
        <f aca="false">IF(D111="","",IFERROR(INDEX('Reference Tables'!$C$3:$C$8,MATCH(D111,'Reference Tables'!$A$3:$A$8,0)),"Invalid package"))</f>
        <v/>
      </c>
      <c r="G111" s="14" t="str">
        <f aca="false">IF(E111="","",'Reference Tables'!$C$13)</f>
        <v/>
      </c>
      <c r="H111" s="12" t="str">
        <f aca="false">IF(E111="","",IF(E111&gt;=150,"Yes","No"))</f>
        <v/>
      </c>
      <c r="I111" s="13" t="str">
        <f aca="false">IF(E111="","",IF(H111="Yes",E111*G111,0))</f>
        <v/>
      </c>
      <c r="J111" s="13" t="str">
        <f aca="false">IF(E111="","",E111-I111)</f>
        <v/>
      </c>
      <c r="K111" s="6"/>
      <c r="L111" s="6"/>
    </row>
    <row r="112" customFormat="false" ht="15" hidden="false" customHeight="false" outlineLevel="0" collapsed="false">
      <c r="A112" s="11"/>
      <c r="B112" s="6"/>
      <c r="C112" s="12" t="str">
        <f aca="false">IF(B112="","",IFERROR(INDEX('Qualifier Registry'!$B$4:$B$103,MATCH(B112,'Qualifier Registry'!$A$4:$A$103,0)),"Not found"))</f>
        <v/>
      </c>
      <c r="D112" s="6"/>
      <c r="E112" s="13" t="str">
        <f aca="false">IF(D112="","",IFERROR(INDEX('Reference Tables'!$B$3:$B$8,MATCH(D112,'Reference Tables'!$A$3:$A$8,0)),"Invalid package"))</f>
        <v/>
      </c>
      <c r="F112" s="12" t="str">
        <f aca="false">IF(D112="","",IFERROR(INDEX('Reference Tables'!$C$3:$C$8,MATCH(D112,'Reference Tables'!$A$3:$A$8,0)),"Invalid package"))</f>
        <v/>
      </c>
      <c r="G112" s="14" t="str">
        <f aca="false">IF(E112="","",'Reference Tables'!$C$13)</f>
        <v/>
      </c>
      <c r="H112" s="12" t="str">
        <f aca="false">IF(E112="","",IF(E112&gt;=150,"Yes","No"))</f>
        <v/>
      </c>
      <c r="I112" s="13" t="str">
        <f aca="false">IF(E112="","",IF(H112="Yes",E112*G112,0))</f>
        <v/>
      </c>
      <c r="J112" s="13" t="str">
        <f aca="false">IF(E112="","",E112-I112)</f>
        <v/>
      </c>
      <c r="K112" s="6"/>
      <c r="L112" s="6"/>
    </row>
    <row r="113" customFormat="false" ht="15" hidden="false" customHeight="false" outlineLevel="0" collapsed="false">
      <c r="A113" s="11"/>
      <c r="B113" s="6"/>
      <c r="C113" s="12" t="str">
        <f aca="false">IF(B113="","",IFERROR(INDEX('Qualifier Registry'!$B$4:$B$103,MATCH(B113,'Qualifier Registry'!$A$4:$A$103,0)),"Not found"))</f>
        <v/>
      </c>
      <c r="D113" s="6"/>
      <c r="E113" s="13" t="str">
        <f aca="false">IF(D113="","",IFERROR(INDEX('Reference Tables'!$B$3:$B$8,MATCH(D113,'Reference Tables'!$A$3:$A$8,0)),"Invalid package"))</f>
        <v/>
      </c>
      <c r="F113" s="12" t="str">
        <f aca="false">IF(D113="","",IFERROR(INDEX('Reference Tables'!$C$3:$C$8,MATCH(D113,'Reference Tables'!$A$3:$A$8,0)),"Invalid package"))</f>
        <v/>
      </c>
      <c r="G113" s="14" t="str">
        <f aca="false">IF(E113="","",'Reference Tables'!$C$13)</f>
        <v/>
      </c>
      <c r="H113" s="12" t="str">
        <f aca="false">IF(E113="","",IF(E113&gt;=150,"Yes","No"))</f>
        <v/>
      </c>
      <c r="I113" s="13" t="str">
        <f aca="false">IF(E113="","",IF(H113="Yes",E113*G113,0))</f>
        <v/>
      </c>
      <c r="J113" s="13" t="str">
        <f aca="false">IF(E113="","",E113-I113)</f>
        <v/>
      </c>
      <c r="K113" s="6"/>
      <c r="L113" s="6"/>
    </row>
    <row r="114" customFormat="false" ht="15" hidden="false" customHeight="false" outlineLevel="0" collapsed="false">
      <c r="A114" s="11"/>
      <c r="B114" s="6"/>
      <c r="C114" s="12" t="str">
        <f aca="false">IF(B114="","",IFERROR(INDEX('Qualifier Registry'!$B$4:$B$103,MATCH(B114,'Qualifier Registry'!$A$4:$A$103,0)),"Not found"))</f>
        <v/>
      </c>
      <c r="D114" s="6"/>
      <c r="E114" s="13" t="str">
        <f aca="false">IF(D114="","",IFERROR(INDEX('Reference Tables'!$B$3:$B$8,MATCH(D114,'Reference Tables'!$A$3:$A$8,0)),"Invalid package"))</f>
        <v/>
      </c>
      <c r="F114" s="12" t="str">
        <f aca="false">IF(D114="","",IFERROR(INDEX('Reference Tables'!$C$3:$C$8,MATCH(D114,'Reference Tables'!$A$3:$A$8,0)),"Invalid package"))</f>
        <v/>
      </c>
      <c r="G114" s="14" t="str">
        <f aca="false">IF(E114="","",'Reference Tables'!$C$13)</f>
        <v/>
      </c>
      <c r="H114" s="12" t="str">
        <f aca="false">IF(E114="","",IF(E114&gt;=150,"Yes","No"))</f>
        <v/>
      </c>
      <c r="I114" s="13" t="str">
        <f aca="false">IF(E114="","",IF(H114="Yes",E114*G114,0))</f>
        <v/>
      </c>
      <c r="J114" s="13" t="str">
        <f aca="false">IF(E114="","",E114-I114)</f>
        <v/>
      </c>
      <c r="K114" s="6"/>
      <c r="L114" s="6"/>
    </row>
    <row r="115" customFormat="false" ht="15" hidden="false" customHeight="false" outlineLevel="0" collapsed="false">
      <c r="A115" s="11"/>
      <c r="B115" s="6"/>
      <c r="C115" s="12" t="str">
        <f aca="false">IF(B115="","",IFERROR(INDEX('Qualifier Registry'!$B$4:$B$103,MATCH(B115,'Qualifier Registry'!$A$4:$A$103,0)),"Not found"))</f>
        <v/>
      </c>
      <c r="D115" s="6"/>
      <c r="E115" s="13" t="str">
        <f aca="false">IF(D115="","",IFERROR(INDEX('Reference Tables'!$B$3:$B$8,MATCH(D115,'Reference Tables'!$A$3:$A$8,0)),"Invalid package"))</f>
        <v/>
      </c>
      <c r="F115" s="12" t="str">
        <f aca="false">IF(D115="","",IFERROR(INDEX('Reference Tables'!$C$3:$C$8,MATCH(D115,'Reference Tables'!$A$3:$A$8,0)),"Invalid package"))</f>
        <v/>
      </c>
      <c r="G115" s="14" t="str">
        <f aca="false">IF(E115="","",'Reference Tables'!$C$13)</f>
        <v/>
      </c>
      <c r="H115" s="12" t="str">
        <f aca="false">IF(E115="","",IF(E115&gt;=150,"Yes","No"))</f>
        <v/>
      </c>
      <c r="I115" s="13" t="str">
        <f aca="false">IF(E115="","",IF(H115="Yes",E115*G115,0))</f>
        <v/>
      </c>
      <c r="J115" s="13" t="str">
        <f aca="false">IF(E115="","",E115-I115)</f>
        <v/>
      </c>
      <c r="K115" s="6"/>
      <c r="L115" s="6"/>
    </row>
    <row r="116" customFormat="false" ht="15" hidden="false" customHeight="false" outlineLevel="0" collapsed="false">
      <c r="A116" s="11"/>
      <c r="B116" s="6"/>
      <c r="C116" s="12" t="str">
        <f aca="false">IF(B116="","",IFERROR(INDEX('Qualifier Registry'!$B$4:$B$103,MATCH(B116,'Qualifier Registry'!$A$4:$A$103,0)),"Not found"))</f>
        <v/>
      </c>
      <c r="D116" s="6"/>
      <c r="E116" s="13" t="str">
        <f aca="false">IF(D116="","",IFERROR(INDEX('Reference Tables'!$B$3:$B$8,MATCH(D116,'Reference Tables'!$A$3:$A$8,0)),"Invalid package"))</f>
        <v/>
      </c>
      <c r="F116" s="12" t="str">
        <f aca="false">IF(D116="","",IFERROR(INDEX('Reference Tables'!$C$3:$C$8,MATCH(D116,'Reference Tables'!$A$3:$A$8,0)),"Invalid package"))</f>
        <v/>
      </c>
      <c r="G116" s="14" t="str">
        <f aca="false">IF(E116="","",'Reference Tables'!$C$13)</f>
        <v/>
      </c>
      <c r="H116" s="12" t="str">
        <f aca="false">IF(E116="","",IF(E116&gt;=150,"Yes","No"))</f>
        <v/>
      </c>
      <c r="I116" s="13" t="str">
        <f aca="false">IF(E116="","",IF(H116="Yes",E116*G116,0))</f>
        <v/>
      </c>
      <c r="J116" s="13" t="str">
        <f aca="false">IF(E116="","",E116-I116)</f>
        <v/>
      </c>
      <c r="K116" s="6"/>
      <c r="L116" s="6"/>
    </row>
    <row r="117" customFormat="false" ht="15" hidden="false" customHeight="false" outlineLevel="0" collapsed="false">
      <c r="A117" s="11"/>
      <c r="B117" s="6"/>
      <c r="C117" s="12" t="str">
        <f aca="false">IF(B117="","",IFERROR(INDEX('Qualifier Registry'!$B$4:$B$103,MATCH(B117,'Qualifier Registry'!$A$4:$A$103,0)),"Not found"))</f>
        <v/>
      </c>
      <c r="D117" s="6"/>
      <c r="E117" s="13" t="str">
        <f aca="false">IF(D117="","",IFERROR(INDEX('Reference Tables'!$B$3:$B$8,MATCH(D117,'Reference Tables'!$A$3:$A$8,0)),"Invalid package"))</f>
        <v/>
      </c>
      <c r="F117" s="12" t="str">
        <f aca="false">IF(D117="","",IFERROR(INDEX('Reference Tables'!$C$3:$C$8,MATCH(D117,'Reference Tables'!$A$3:$A$8,0)),"Invalid package"))</f>
        <v/>
      </c>
      <c r="G117" s="14" t="str">
        <f aca="false">IF(E117="","",'Reference Tables'!$C$13)</f>
        <v/>
      </c>
      <c r="H117" s="12" t="str">
        <f aca="false">IF(E117="","",IF(E117&gt;=150,"Yes","No"))</f>
        <v/>
      </c>
      <c r="I117" s="13" t="str">
        <f aca="false">IF(E117="","",IF(H117="Yes",E117*G117,0))</f>
        <v/>
      </c>
      <c r="J117" s="13" t="str">
        <f aca="false">IF(E117="","",E117-I117)</f>
        <v/>
      </c>
      <c r="K117" s="6"/>
      <c r="L117" s="6"/>
    </row>
    <row r="118" customFormat="false" ht="15" hidden="false" customHeight="false" outlineLevel="0" collapsed="false">
      <c r="A118" s="11"/>
      <c r="B118" s="6"/>
      <c r="C118" s="12" t="str">
        <f aca="false">IF(B118="","",IFERROR(INDEX('Qualifier Registry'!$B$4:$B$103,MATCH(B118,'Qualifier Registry'!$A$4:$A$103,0)),"Not found"))</f>
        <v/>
      </c>
      <c r="D118" s="6"/>
      <c r="E118" s="13" t="str">
        <f aca="false">IF(D118="","",IFERROR(INDEX('Reference Tables'!$B$3:$B$8,MATCH(D118,'Reference Tables'!$A$3:$A$8,0)),"Invalid package"))</f>
        <v/>
      </c>
      <c r="F118" s="12" t="str">
        <f aca="false">IF(D118="","",IFERROR(INDEX('Reference Tables'!$C$3:$C$8,MATCH(D118,'Reference Tables'!$A$3:$A$8,0)),"Invalid package"))</f>
        <v/>
      </c>
      <c r="G118" s="14" t="str">
        <f aca="false">IF(E118="","",'Reference Tables'!$C$13)</f>
        <v/>
      </c>
      <c r="H118" s="12" t="str">
        <f aca="false">IF(E118="","",IF(E118&gt;=150,"Yes","No"))</f>
        <v/>
      </c>
      <c r="I118" s="13" t="str">
        <f aca="false">IF(E118="","",IF(H118="Yes",E118*G118,0))</f>
        <v/>
      </c>
      <c r="J118" s="13" t="str">
        <f aca="false">IF(E118="","",E118-I118)</f>
        <v/>
      </c>
      <c r="K118" s="6"/>
      <c r="L118" s="6"/>
    </row>
    <row r="119" customFormat="false" ht="15" hidden="false" customHeight="false" outlineLevel="0" collapsed="false">
      <c r="A119" s="11"/>
      <c r="B119" s="6"/>
      <c r="C119" s="12" t="str">
        <f aca="false">IF(B119="","",IFERROR(INDEX('Qualifier Registry'!$B$4:$B$103,MATCH(B119,'Qualifier Registry'!$A$4:$A$103,0)),"Not found"))</f>
        <v/>
      </c>
      <c r="D119" s="6"/>
      <c r="E119" s="13" t="str">
        <f aca="false">IF(D119="","",IFERROR(INDEX('Reference Tables'!$B$3:$B$8,MATCH(D119,'Reference Tables'!$A$3:$A$8,0)),"Invalid package"))</f>
        <v/>
      </c>
      <c r="F119" s="12" t="str">
        <f aca="false">IF(D119="","",IFERROR(INDEX('Reference Tables'!$C$3:$C$8,MATCH(D119,'Reference Tables'!$A$3:$A$8,0)),"Invalid package"))</f>
        <v/>
      </c>
      <c r="G119" s="14" t="str">
        <f aca="false">IF(E119="","",'Reference Tables'!$C$13)</f>
        <v/>
      </c>
      <c r="H119" s="12" t="str">
        <f aca="false">IF(E119="","",IF(E119&gt;=150,"Yes","No"))</f>
        <v/>
      </c>
      <c r="I119" s="13" t="str">
        <f aca="false">IF(E119="","",IF(H119="Yes",E119*G119,0))</f>
        <v/>
      </c>
      <c r="J119" s="13" t="str">
        <f aca="false">IF(E119="","",E119-I119)</f>
        <v/>
      </c>
      <c r="K119" s="6"/>
      <c r="L119" s="6"/>
    </row>
    <row r="120" customFormat="false" ht="15" hidden="false" customHeight="false" outlineLevel="0" collapsed="false">
      <c r="A120" s="11"/>
      <c r="B120" s="6"/>
      <c r="C120" s="12" t="str">
        <f aca="false">IF(B120="","",IFERROR(INDEX('Qualifier Registry'!$B$4:$B$103,MATCH(B120,'Qualifier Registry'!$A$4:$A$103,0)),"Not found"))</f>
        <v/>
      </c>
      <c r="D120" s="6"/>
      <c r="E120" s="13" t="str">
        <f aca="false">IF(D120="","",IFERROR(INDEX('Reference Tables'!$B$3:$B$8,MATCH(D120,'Reference Tables'!$A$3:$A$8,0)),"Invalid package"))</f>
        <v/>
      </c>
      <c r="F120" s="12" t="str">
        <f aca="false">IF(D120="","",IFERROR(INDEX('Reference Tables'!$C$3:$C$8,MATCH(D120,'Reference Tables'!$A$3:$A$8,0)),"Invalid package"))</f>
        <v/>
      </c>
      <c r="G120" s="14" t="str">
        <f aca="false">IF(E120="","",'Reference Tables'!$C$13)</f>
        <v/>
      </c>
      <c r="H120" s="12" t="str">
        <f aca="false">IF(E120="","",IF(E120&gt;=150,"Yes","No"))</f>
        <v/>
      </c>
      <c r="I120" s="13" t="str">
        <f aca="false">IF(E120="","",IF(H120="Yes",E120*G120,0))</f>
        <v/>
      </c>
      <c r="J120" s="13" t="str">
        <f aca="false">IF(E120="","",E120-I120)</f>
        <v/>
      </c>
      <c r="K120" s="6"/>
      <c r="L120" s="6"/>
    </row>
    <row r="121" customFormat="false" ht="15" hidden="false" customHeight="false" outlineLevel="0" collapsed="false">
      <c r="A121" s="11"/>
      <c r="B121" s="6"/>
      <c r="C121" s="12" t="str">
        <f aca="false">IF(B121="","",IFERROR(INDEX('Qualifier Registry'!$B$4:$B$103,MATCH(B121,'Qualifier Registry'!$A$4:$A$103,0)),"Not found"))</f>
        <v/>
      </c>
      <c r="D121" s="6"/>
      <c r="E121" s="13" t="str">
        <f aca="false">IF(D121="","",IFERROR(INDEX('Reference Tables'!$B$3:$B$8,MATCH(D121,'Reference Tables'!$A$3:$A$8,0)),"Invalid package"))</f>
        <v/>
      </c>
      <c r="F121" s="12" t="str">
        <f aca="false">IF(D121="","",IFERROR(INDEX('Reference Tables'!$C$3:$C$8,MATCH(D121,'Reference Tables'!$A$3:$A$8,0)),"Invalid package"))</f>
        <v/>
      </c>
      <c r="G121" s="14" t="str">
        <f aca="false">IF(E121="","",'Reference Tables'!$C$13)</f>
        <v/>
      </c>
      <c r="H121" s="12" t="str">
        <f aca="false">IF(E121="","",IF(E121&gt;=150,"Yes","No"))</f>
        <v/>
      </c>
      <c r="I121" s="13" t="str">
        <f aca="false">IF(E121="","",IF(H121="Yes",E121*G121,0))</f>
        <v/>
      </c>
      <c r="J121" s="13" t="str">
        <f aca="false">IF(E121="","",E121-I121)</f>
        <v/>
      </c>
      <c r="K121" s="6"/>
      <c r="L121" s="6"/>
    </row>
    <row r="122" customFormat="false" ht="15" hidden="false" customHeight="false" outlineLevel="0" collapsed="false">
      <c r="A122" s="11"/>
      <c r="B122" s="6"/>
      <c r="C122" s="12" t="str">
        <f aca="false">IF(B122="","",IFERROR(INDEX('Qualifier Registry'!$B$4:$B$103,MATCH(B122,'Qualifier Registry'!$A$4:$A$103,0)),"Not found"))</f>
        <v/>
      </c>
      <c r="D122" s="6"/>
      <c r="E122" s="13" t="str">
        <f aca="false">IF(D122="","",IFERROR(INDEX('Reference Tables'!$B$3:$B$8,MATCH(D122,'Reference Tables'!$A$3:$A$8,0)),"Invalid package"))</f>
        <v/>
      </c>
      <c r="F122" s="12" t="str">
        <f aca="false">IF(D122="","",IFERROR(INDEX('Reference Tables'!$C$3:$C$8,MATCH(D122,'Reference Tables'!$A$3:$A$8,0)),"Invalid package"))</f>
        <v/>
      </c>
      <c r="G122" s="14" t="str">
        <f aca="false">IF(E122="","",'Reference Tables'!$C$13)</f>
        <v/>
      </c>
      <c r="H122" s="12" t="str">
        <f aca="false">IF(E122="","",IF(E122&gt;=150,"Yes","No"))</f>
        <v/>
      </c>
      <c r="I122" s="13" t="str">
        <f aca="false">IF(E122="","",IF(H122="Yes",E122*G122,0))</f>
        <v/>
      </c>
      <c r="J122" s="13" t="str">
        <f aca="false">IF(E122="","",E122-I122)</f>
        <v/>
      </c>
      <c r="K122" s="6"/>
      <c r="L122" s="6"/>
    </row>
    <row r="123" customFormat="false" ht="15" hidden="false" customHeight="false" outlineLevel="0" collapsed="false">
      <c r="A123" s="11"/>
      <c r="B123" s="6"/>
      <c r="C123" s="12" t="str">
        <f aca="false">IF(B123="","",IFERROR(INDEX('Qualifier Registry'!$B$4:$B$103,MATCH(B123,'Qualifier Registry'!$A$4:$A$103,0)),"Not found"))</f>
        <v/>
      </c>
      <c r="D123" s="6"/>
      <c r="E123" s="13" t="str">
        <f aca="false">IF(D123="","",IFERROR(INDEX('Reference Tables'!$B$3:$B$8,MATCH(D123,'Reference Tables'!$A$3:$A$8,0)),"Invalid package"))</f>
        <v/>
      </c>
      <c r="F123" s="12" t="str">
        <f aca="false">IF(D123="","",IFERROR(INDEX('Reference Tables'!$C$3:$C$8,MATCH(D123,'Reference Tables'!$A$3:$A$8,0)),"Invalid package"))</f>
        <v/>
      </c>
      <c r="G123" s="14" t="str">
        <f aca="false">IF(E123="","",'Reference Tables'!$C$13)</f>
        <v/>
      </c>
      <c r="H123" s="12" t="str">
        <f aca="false">IF(E123="","",IF(E123&gt;=150,"Yes","No"))</f>
        <v/>
      </c>
      <c r="I123" s="13" t="str">
        <f aca="false">IF(E123="","",IF(H123="Yes",E123*G123,0))</f>
        <v/>
      </c>
      <c r="J123" s="13" t="str">
        <f aca="false">IF(E123="","",E123-I123)</f>
        <v/>
      </c>
      <c r="K123" s="6"/>
      <c r="L123" s="6"/>
    </row>
    <row r="124" customFormat="false" ht="15" hidden="false" customHeight="false" outlineLevel="0" collapsed="false">
      <c r="A124" s="11"/>
      <c r="B124" s="6"/>
      <c r="C124" s="12" t="str">
        <f aca="false">IF(B124="","",IFERROR(INDEX('Qualifier Registry'!$B$4:$B$103,MATCH(B124,'Qualifier Registry'!$A$4:$A$103,0)),"Not found"))</f>
        <v/>
      </c>
      <c r="D124" s="6"/>
      <c r="E124" s="13" t="str">
        <f aca="false">IF(D124="","",IFERROR(INDEX('Reference Tables'!$B$3:$B$8,MATCH(D124,'Reference Tables'!$A$3:$A$8,0)),"Invalid package"))</f>
        <v/>
      </c>
      <c r="F124" s="12" t="str">
        <f aca="false">IF(D124="","",IFERROR(INDEX('Reference Tables'!$C$3:$C$8,MATCH(D124,'Reference Tables'!$A$3:$A$8,0)),"Invalid package"))</f>
        <v/>
      </c>
      <c r="G124" s="14" t="str">
        <f aca="false">IF(E124="","",'Reference Tables'!$C$13)</f>
        <v/>
      </c>
      <c r="H124" s="12" t="str">
        <f aca="false">IF(E124="","",IF(E124&gt;=150,"Yes","No"))</f>
        <v/>
      </c>
      <c r="I124" s="13" t="str">
        <f aca="false">IF(E124="","",IF(H124="Yes",E124*G124,0))</f>
        <v/>
      </c>
      <c r="J124" s="13" t="str">
        <f aca="false">IF(E124="","",E124-I124)</f>
        <v/>
      </c>
      <c r="K124" s="6"/>
      <c r="L124" s="6"/>
    </row>
    <row r="125" customFormat="false" ht="15" hidden="false" customHeight="false" outlineLevel="0" collapsed="false">
      <c r="A125" s="11"/>
      <c r="B125" s="6"/>
      <c r="C125" s="12" t="str">
        <f aca="false">IF(B125="","",IFERROR(INDEX('Qualifier Registry'!$B$4:$B$103,MATCH(B125,'Qualifier Registry'!$A$4:$A$103,0)),"Not found"))</f>
        <v/>
      </c>
      <c r="D125" s="6"/>
      <c r="E125" s="13" t="str">
        <f aca="false">IF(D125="","",IFERROR(INDEX('Reference Tables'!$B$3:$B$8,MATCH(D125,'Reference Tables'!$A$3:$A$8,0)),"Invalid package"))</f>
        <v/>
      </c>
      <c r="F125" s="12" t="str">
        <f aca="false">IF(D125="","",IFERROR(INDEX('Reference Tables'!$C$3:$C$8,MATCH(D125,'Reference Tables'!$A$3:$A$8,0)),"Invalid package"))</f>
        <v/>
      </c>
      <c r="G125" s="14" t="str">
        <f aca="false">IF(E125="","",'Reference Tables'!$C$13)</f>
        <v/>
      </c>
      <c r="H125" s="12" t="str">
        <f aca="false">IF(E125="","",IF(E125&gt;=150,"Yes","No"))</f>
        <v/>
      </c>
      <c r="I125" s="13" t="str">
        <f aca="false">IF(E125="","",IF(H125="Yes",E125*G125,0))</f>
        <v/>
      </c>
      <c r="J125" s="13" t="str">
        <f aca="false">IF(E125="","",E125-I125)</f>
        <v/>
      </c>
      <c r="K125" s="6"/>
      <c r="L125" s="6"/>
    </row>
    <row r="126" customFormat="false" ht="15" hidden="false" customHeight="false" outlineLevel="0" collapsed="false">
      <c r="A126" s="11"/>
      <c r="B126" s="6"/>
      <c r="C126" s="12" t="str">
        <f aca="false">IF(B126="","",IFERROR(INDEX('Qualifier Registry'!$B$4:$B$103,MATCH(B126,'Qualifier Registry'!$A$4:$A$103,0)),"Not found"))</f>
        <v/>
      </c>
      <c r="D126" s="6"/>
      <c r="E126" s="13" t="str">
        <f aca="false">IF(D126="","",IFERROR(INDEX('Reference Tables'!$B$3:$B$8,MATCH(D126,'Reference Tables'!$A$3:$A$8,0)),"Invalid package"))</f>
        <v/>
      </c>
      <c r="F126" s="12" t="str">
        <f aca="false">IF(D126="","",IFERROR(INDEX('Reference Tables'!$C$3:$C$8,MATCH(D126,'Reference Tables'!$A$3:$A$8,0)),"Invalid package"))</f>
        <v/>
      </c>
      <c r="G126" s="14" t="str">
        <f aca="false">IF(E126="","",'Reference Tables'!$C$13)</f>
        <v/>
      </c>
      <c r="H126" s="12" t="str">
        <f aca="false">IF(E126="","",IF(E126&gt;=150,"Yes","No"))</f>
        <v/>
      </c>
      <c r="I126" s="13" t="str">
        <f aca="false">IF(E126="","",IF(H126="Yes",E126*G126,0))</f>
        <v/>
      </c>
      <c r="J126" s="13" t="str">
        <f aca="false">IF(E126="","",E126-I126)</f>
        <v/>
      </c>
      <c r="K126" s="6"/>
      <c r="L126" s="6"/>
    </row>
    <row r="127" customFormat="false" ht="15" hidden="false" customHeight="false" outlineLevel="0" collapsed="false">
      <c r="A127" s="11"/>
      <c r="B127" s="6"/>
      <c r="C127" s="12" t="str">
        <f aca="false">IF(B127="","",IFERROR(INDEX('Qualifier Registry'!$B$4:$B$103,MATCH(B127,'Qualifier Registry'!$A$4:$A$103,0)),"Not found"))</f>
        <v/>
      </c>
      <c r="D127" s="6"/>
      <c r="E127" s="13" t="str">
        <f aca="false">IF(D127="","",IFERROR(INDEX('Reference Tables'!$B$3:$B$8,MATCH(D127,'Reference Tables'!$A$3:$A$8,0)),"Invalid package"))</f>
        <v/>
      </c>
      <c r="F127" s="12" t="str">
        <f aca="false">IF(D127="","",IFERROR(INDEX('Reference Tables'!$C$3:$C$8,MATCH(D127,'Reference Tables'!$A$3:$A$8,0)),"Invalid package"))</f>
        <v/>
      </c>
      <c r="G127" s="14" t="str">
        <f aca="false">IF(E127="","",'Reference Tables'!$C$13)</f>
        <v/>
      </c>
      <c r="H127" s="12" t="str">
        <f aca="false">IF(E127="","",IF(E127&gt;=150,"Yes","No"))</f>
        <v/>
      </c>
      <c r="I127" s="13" t="str">
        <f aca="false">IF(E127="","",IF(H127="Yes",E127*G127,0))</f>
        <v/>
      </c>
      <c r="J127" s="13" t="str">
        <f aca="false">IF(E127="","",E127-I127)</f>
        <v/>
      </c>
      <c r="K127" s="6"/>
      <c r="L127" s="6"/>
    </row>
    <row r="128" customFormat="false" ht="15" hidden="false" customHeight="false" outlineLevel="0" collapsed="false">
      <c r="A128" s="11"/>
      <c r="B128" s="6"/>
      <c r="C128" s="12" t="str">
        <f aca="false">IF(B128="","",IFERROR(INDEX('Qualifier Registry'!$B$4:$B$103,MATCH(B128,'Qualifier Registry'!$A$4:$A$103,0)),"Not found"))</f>
        <v/>
      </c>
      <c r="D128" s="6"/>
      <c r="E128" s="13" t="str">
        <f aca="false">IF(D128="","",IFERROR(INDEX('Reference Tables'!$B$3:$B$8,MATCH(D128,'Reference Tables'!$A$3:$A$8,0)),"Invalid package"))</f>
        <v/>
      </c>
      <c r="F128" s="12" t="str">
        <f aca="false">IF(D128="","",IFERROR(INDEX('Reference Tables'!$C$3:$C$8,MATCH(D128,'Reference Tables'!$A$3:$A$8,0)),"Invalid package"))</f>
        <v/>
      </c>
      <c r="G128" s="14" t="str">
        <f aca="false">IF(E128="","",'Reference Tables'!$C$13)</f>
        <v/>
      </c>
      <c r="H128" s="12" t="str">
        <f aca="false">IF(E128="","",IF(E128&gt;=150,"Yes","No"))</f>
        <v/>
      </c>
      <c r="I128" s="13" t="str">
        <f aca="false">IF(E128="","",IF(H128="Yes",E128*G128,0))</f>
        <v/>
      </c>
      <c r="J128" s="13" t="str">
        <f aca="false">IF(E128="","",E128-I128)</f>
        <v/>
      </c>
      <c r="K128" s="6"/>
      <c r="L128" s="6"/>
    </row>
    <row r="129" customFormat="false" ht="15" hidden="false" customHeight="false" outlineLevel="0" collapsed="false">
      <c r="A129" s="11"/>
      <c r="B129" s="6"/>
      <c r="C129" s="12" t="str">
        <f aca="false">IF(B129="","",IFERROR(INDEX('Qualifier Registry'!$B$4:$B$103,MATCH(B129,'Qualifier Registry'!$A$4:$A$103,0)),"Not found"))</f>
        <v/>
      </c>
      <c r="D129" s="6"/>
      <c r="E129" s="13" t="str">
        <f aca="false">IF(D129="","",IFERROR(INDEX('Reference Tables'!$B$3:$B$8,MATCH(D129,'Reference Tables'!$A$3:$A$8,0)),"Invalid package"))</f>
        <v/>
      </c>
      <c r="F129" s="12" t="str">
        <f aca="false">IF(D129="","",IFERROR(INDEX('Reference Tables'!$C$3:$C$8,MATCH(D129,'Reference Tables'!$A$3:$A$8,0)),"Invalid package"))</f>
        <v/>
      </c>
      <c r="G129" s="14" t="str">
        <f aca="false">IF(E129="","",'Reference Tables'!$C$13)</f>
        <v/>
      </c>
      <c r="H129" s="12" t="str">
        <f aca="false">IF(E129="","",IF(E129&gt;=150,"Yes","No"))</f>
        <v/>
      </c>
      <c r="I129" s="13" t="str">
        <f aca="false">IF(E129="","",IF(H129="Yes",E129*G129,0))</f>
        <v/>
      </c>
      <c r="J129" s="13" t="str">
        <f aca="false">IF(E129="","",E129-I129)</f>
        <v/>
      </c>
      <c r="K129" s="6"/>
      <c r="L129" s="6"/>
    </row>
    <row r="130" customFormat="false" ht="15" hidden="false" customHeight="false" outlineLevel="0" collapsed="false">
      <c r="A130" s="11"/>
      <c r="B130" s="6"/>
      <c r="C130" s="12" t="str">
        <f aca="false">IF(B130="","",IFERROR(INDEX('Qualifier Registry'!$B$4:$B$103,MATCH(B130,'Qualifier Registry'!$A$4:$A$103,0)),"Not found"))</f>
        <v/>
      </c>
      <c r="D130" s="6"/>
      <c r="E130" s="13" t="str">
        <f aca="false">IF(D130="","",IFERROR(INDEX('Reference Tables'!$B$3:$B$8,MATCH(D130,'Reference Tables'!$A$3:$A$8,0)),"Invalid package"))</f>
        <v/>
      </c>
      <c r="F130" s="12" t="str">
        <f aca="false">IF(D130="","",IFERROR(INDEX('Reference Tables'!$C$3:$C$8,MATCH(D130,'Reference Tables'!$A$3:$A$8,0)),"Invalid package"))</f>
        <v/>
      </c>
      <c r="G130" s="14" t="str">
        <f aca="false">IF(E130="","",'Reference Tables'!$C$13)</f>
        <v/>
      </c>
      <c r="H130" s="12" t="str">
        <f aca="false">IF(E130="","",IF(E130&gt;=150,"Yes","No"))</f>
        <v/>
      </c>
      <c r="I130" s="13" t="str">
        <f aca="false">IF(E130="","",IF(H130="Yes",E130*G130,0))</f>
        <v/>
      </c>
      <c r="J130" s="13" t="str">
        <f aca="false">IF(E130="","",E130-I130)</f>
        <v/>
      </c>
      <c r="K130" s="6"/>
      <c r="L130" s="6"/>
    </row>
    <row r="131" customFormat="false" ht="15" hidden="false" customHeight="false" outlineLevel="0" collapsed="false">
      <c r="A131" s="11"/>
      <c r="B131" s="6"/>
      <c r="C131" s="12" t="str">
        <f aca="false">IF(B131="","",IFERROR(INDEX('Qualifier Registry'!$B$4:$B$103,MATCH(B131,'Qualifier Registry'!$A$4:$A$103,0)),"Not found"))</f>
        <v/>
      </c>
      <c r="D131" s="6"/>
      <c r="E131" s="13" t="str">
        <f aca="false">IF(D131="","",IFERROR(INDEX('Reference Tables'!$B$3:$B$8,MATCH(D131,'Reference Tables'!$A$3:$A$8,0)),"Invalid package"))</f>
        <v/>
      </c>
      <c r="F131" s="12" t="str">
        <f aca="false">IF(D131="","",IFERROR(INDEX('Reference Tables'!$C$3:$C$8,MATCH(D131,'Reference Tables'!$A$3:$A$8,0)),"Invalid package"))</f>
        <v/>
      </c>
      <c r="G131" s="14" t="str">
        <f aca="false">IF(E131="","",'Reference Tables'!$C$13)</f>
        <v/>
      </c>
      <c r="H131" s="12" t="str">
        <f aca="false">IF(E131="","",IF(E131&gt;=150,"Yes","No"))</f>
        <v/>
      </c>
      <c r="I131" s="13" t="str">
        <f aca="false">IF(E131="","",IF(H131="Yes",E131*G131,0))</f>
        <v/>
      </c>
      <c r="J131" s="13" t="str">
        <f aca="false">IF(E131="","",E131-I131)</f>
        <v/>
      </c>
      <c r="K131" s="6"/>
      <c r="L131" s="6"/>
    </row>
    <row r="132" customFormat="false" ht="15" hidden="false" customHeight="false" outlineLevel="0" collapsed="false">
      <c r="A132" s="11"/>
      <c r="B132" s="6"/>
      <c r="C132" s="12" t="str">
        <f aca="false">IF(B132="","",IFERROR(INDEX('Qualifier Registry'!$B$4:$B$103,MATCH(B132,'Qualifier Registry'!$A$4:$A$103,0)),"Not found"))</f>
        <v/>
      </c>
      <c r="D132" s="6"/>
      <c r="E132" s="13" t="str">
        <f aca="false">IF(D132="","",IFERROR(INDEX('Reference Tables'!$B$3:$B$8,MATCH(D132,'Reference Tables'!$A$3:$A$8,0)),"Invalid package"))</f>
        <v/>
      </c>
      <c r="F132" s="12" t="str">
        <f aca="false">IF(D132="","",IFERROR(INDEX('Reference Tables'!$C$3:$C$8,MATCH(D132,'Reference Tables'!$A$3:$A$8,0)),"Invalid package"))</f>
        <v/>
      </c>
      <c r="G132" s="14" t="str">
        <f aca="false">IF(E132="","",'Reference Tables'!$C$13)</f>
        <v/>
      </c>
      <c r="H132" s="12" t="str">
        <f aca="false">IF(E132="","",IF(E132&gt;=150,"Yes","No"))</f>
        <v/>
      </c>
      <c r="I132" s="13" t="str">
        <f aca="false">IF(E132="","",IF(H132="Yes",E132*G132,0))</f>
        <v/>
      </c>
      <c r="J132" s="13" t="str">
        <f aca="false">IF(E132="","",E132-I132)</f>
        <v/>
      </c>
      <c r="K132" s="6"/>
      <c r="L132" s="6"/>
    </row>
    <row r="133" customFormat="false" ht="15" hidden="false" customHeight="false" outlineLevel="0" collapsed="false">
      <c r="A133" s="11"/>
      <c r="B133" s="6"/>
      <c r="C133" s="12" t="str">
        <f aca="false">IF(B133="","",IFERROR(INDEX('Qualifier Registry'!$B$4:$B$103,MATCH(B133,'Qualifier Registry'!$A$4:$A$103,0)),"Not found"))</f>
        <v/>
      </c>
      <c r="D133" s="6"/>
      <c r="E133" s="13" t="str">
        <f aca="false">IF(D133="","",IFERROR(INDEX('Reference Tables'!$B$3:$B$8,MATCH(D133,'Reference Tables'!$A$3:$A$8,0)),"Invalid package"))</f>
        <v/>
      </c>
      <c r="F133" s="12" t="str">
        <f aca="false">IF(D133="","",IFERROR(INDEX('Reference Tables'!$C$3:$C$8,MATCH(D133,'Reference Tables'!$A$3:$A$8,0)),"Invalid package"))</f>
        <v/>
      </c>
      <c r="G133" s="14" t="str">
        <f aca="false">IF(E133="","",'Reference Tables'!$C$13)</f>
        <v/>
      </c>
      <c r="H133" s="12" t="str">
        <f aca="false">IF(E133="","",IF(E133&gt;=150,"Yes","No"))</f>
        <v/>
      </c>
      <c r="I133" s="13" t="str">
        <f aca="false">IF(E133="","",IF(H133="Yes",E133*G133,0))</f>
        <v/>
      </c>
      <c r="J133" s="13" t="str">
        <f aca="false">IF(E133="","",E133-I133)</f>
        <v/>
      </c>
      <c r="K133" s="6"/>
      <c r="L133" s="6"/>
    </row>
    <row r="134" customFormat="false" ht="15" hidden="false" customHeight="false" outlineLevel="0" collapsed="false">
      <c r="A134" s="11"/>
      <c r="B134" s="6"/>
      <c r="C134" s="12" t="str">
        <f aca="false">IF(B134="","",IFERROR(INDEX('Qualifier Registry'!$B$4:$B$103,MATCH(B134,'Qualifier Registry'!$A$4:$A$103,0)),"Not found"))</f>
        <v/>
      </c>
      <c r="D134" s="6"/>
      <c r="E134" s="13" t="str">
        <f aca="false">IF(D134="","",IFERROR(INDEX('Reference Tables'!$B$3:$B$8,MATCH(D134,'Reference Tables'!$A$3:$A$8,0)),"Invalid package"))</f>
        <v/>
      </c>
      <c r="F134" s="12" t="str">
        <f aca="false">IF(D134="","",IFERROR(INDEX('Reference Tables'!$C$3:$C$8,MATCH(D134,'Reference Tables'!$A$3:$A$8,0)),"Invalid package"))</f>
        <v/>
      </c>
      <c r="G134" s="14" t="str">
        <f aca="false">IF(E134="","",'Reference Tables'!$C$13)</f>
        <v/>
      </c>
      <c r="H134" s="12" t="str">
        <f aca="false">IF(E134="","",IF(E134&gt;=150,"Yes","No"))</f>
        <v/>
      </c>
      <c r="I134" s="13" t="str">
        <f aca="false">IF(E134="","",IF(H134="Yes",E134*G134,0))</f>
        <v/>
      </c>
      <c r="J134" s="13" t="str">
        <f aca="false">IF(E134="","",E134-I134)</f>
        <v/>
      </c>
      <c r="K134" s="6"/>
      <c r="L134" s="6"/>
    </row>
    <row r="135" customFormat="false" ht="15" hidden="false" customHeight="false" outlineLevel="0" collapsed="false">
      <c r="A135" s="11"/>
      <c r="B135" s="6"/>
      <c r="C135" s="12" t="str">
        <f aca="false">IF(B135="","",IFERROR(INDEX('Qualifier Registry'!$B$4:$B$103,MATCH(B135,'Qualifier Registry'!$A$4:$A$103,0)),"Not found"))</f>
        <v/>
      </c>
      <c r="D135" s="6"/>
      <c r="E135" s="13" t="str">
        <f aca="false">IF(D135="","",IFERROR(INDEX('Reference Tables'!$B$3:$B$8,MATCH(D135,'Reference Tables'!$A$3:$A$8,0)),"Invalid package"))</f>
        <v/>
      </c>
      <c r="F135" s="12" t="str">
        <f aca="false">IF(D135="","",IFERROR(INDEX('Reference Tables'!$C$3:$C$8,MATCH(D135,'Reference Tables'!$A$3:$A$8,0)),"Invalid package"))</f>
        <v/>
      </c>
      <c r="G135" s="14" t="str">
        <f aca="false">IF(E135="","",'Reference Tables'!$C$13)</f>
        <v/>
      </c>
      <c r="H135" s="12" t="str">
        <f aca="false">IF(E135="","",IF(E135&gt;=150,"Yes","No"))</f>
        <v/>
      </c>
      <c r="I135" s="13" t="str">
        <f aca="false">IF(E135="","",IF(H135="Yes",E135*G135,0))</f>
        <v/>
      </c>
      <c r="J135" s="13" t="str">
        <f aca="false">IF(E135="","",E135-I135)</f>
        <v/>
      </c>
      <c r="K135" s="6"/>
      <c r="L135" s="6"/>
    </row>
    <row r="136" customFormat="false" ht="15" hidden="false" customHeight="false" outlineLevel="0" collapsed="false">
      <c r="A136" s="11"/>
      <c r="B136" s="6"/>
      <c r="C136" s="12" t="str">
        <f aca="false">IF(B136="","",IFERROR(INDEX('Qualifier Registry'!$B$4:$B$103,MATCH(B136,'Qualifier Registry'!$A$4:$A$103,0)),"Not found"))</f>
        <v/>
      </c>
      <c r="D136" s="6"/>
      <c r="E136" s="13" t="str">
        <f aca="false">IF(D136="","",IFERROR(INDEX('Reference Tables'!$B$3:$B$8,MATCH(D136,'Reference Tables'!$A$3:$A$8,0)),"Invalid package"))</f>
        <v/>
      </c>
      <c r="F136" s="12" t="str">
        <f aca="false">IF(D136="","",IFERROR(INDEX('Reference Tables'!$C$3:$C$8,MATCH(D136,'Reference Tables'!$A$3:$A$8,0)),"Invalid package"))</f>
        <v/>
      </c>
      <c r="G136" s="14" t="str">
        <f aca="false">IF(E136="","",'Reference Tables'!$C$13)</f>
        <v/>
      </c>
      <c r="H136" s="12" t="str">
        <f aca="false">IF(E136="","",IF(E136&gt;=150,"Yes","No"))</f>
        <v/>
      </c>
      <c r="I136" s="13" t="str">
        <f aca="false">IF(E136="","",IF(H136="Yes",E136*G136,0))</f>
        <v/>
      </c>
      <c r="J136" s="13" t="str">
        <f aca="false">IF(E136="","",E136-I136)</f>
        <v/>
      </c>
      <c r="K136" s="6"/>
      <c r="L136" s="6"/>
    </row>
    <row r="137" customFormat="false" ht="15" hidden="false" customHeight="false" outlineLevel="0" collapsed="false">
      <c r="A137" s="11"/>
      <c r="B137" s="6"/>
      <c r="C137" s="12" t="str">
        <f aca="false">IF(B137="","",IFERROR(INDEX('Qualifier Registry'!$B$4:$B$103,MATCH(B137,'Qualifier Registry'!$A$4:$A$103,0)),"Not found"))</f>
        <v/>
      </c>
      <c r="D137" s="6"/>
      <c r="E137" s="13" t="str">
        <f aca="false">IF(D137="","",IFERROR(INDEX('Reference Tables'!$B$3:$B$8,MATCH(D137,'Reference Tables'!$A$3:$A$8,0)),"Invalid package"))</f>
        <v/>
      </c>
      <c r="F137" s="12" t="str">
        <f aca="false">IF(D137="","",IFERROR(INDEX('Reference Tables'!$C$3:$C$8,MATCH(D137,'Reference Tables'!$A$3:$A$8,0)),"Invalid package"))</f>
        <v/>
      </c>
      <c r="G137" s="14" t="str">
        <f aca="false">IF(E137="","",'Reference Tables'!$C$13)</f>
        <v/>
      </c>
      <c r="H137" s="12" t="str">
        <f aca="false">IF(E137="","",IF(E137&gt;=150,"Yes","No"))</f>
        <v/>
      </c>
      <c r="I137" s="13" t="str">
        <f aca="false">IF(E137="","",IF(H137="Yes",E137*G137,0))</f>
        <v/>
      </c>
      <c r="J137" s="13" t="str">
        <f aca="false">IF(E137="","",E137-I137)</f>
        <v/>
      </c>
      <c r="K137" s="6"/>
      <c r="L137" s="6"/>
    </row>
    <row r="138" customFormat="false" ht="15" hidden="false" customHeight="false" outlineLevel="0" collapsed="false">
      <c r="A138" s="11"/>
      <c r="B138" s="6"/>
      <c r="C138" s="12" t="str">
        <f aca="false">IF(B138="","",IFERROR(INDEX('Qualifier Registry'!$B$4:$B$103,MATCH(B138,'Qualifier Registry'!$A$4:$A$103,0)),"Not found"))</f>
        <v/>
      </c>
      <c r="D138" s="6"/>
      <c r="E138" s="13" t="str">
        <f aca="false">IF(D138="","",IFERROR(INDEX('Reference Tables'!$B$3:$B$8,MATCH(D138,'Reference Tables'!$A$3:$A$8,0)),"Invalid package"))</f>
        <v/>
      </c>
      <c r="F138" s="12" t="str">
        <f aca="false">IF(D138="","",IFERROR(INDEX('Reference Tables'!$C$3:$C$8,MATCH(D138,'Reference Tables'!$A$3:$A$8,0)),"Invalid package"))</f>
        <v/>
      </c>
      <c r="G138" s="14" t="str">
        <f aca="false">IF(E138="","",'Reference Tables'!$C$13)</f>
        <v/>
      </c>
      <c r="H138" s="12" t="str">
        <f aca="false">IF(E138="","",IF(E138&gt;=150,"Yes","No"))</f>
        <v/>
      </c>
      <c r="I138" s="13" t="str">
        <f aca="false">IF(E138="","",IF(H138="Yes",E138*G138,0))</f>
        <v/>
      </c>
      <c r="J138" s="13" t="str">
        <f aca="false">IF(E138="","",E138-I138)</f>
        <v/>
      </c>
      <c r="K138" s="6"/>
      <c r="L138" s="6"/>
    </row>
    <row r="139" customFormat="false" ht="15" hidden="false" customHeight="false" outlineLevel="0" collapsed="false">
      <c r="A139" s="11"/>
      <c r="B139" s="6"/>
      <c r="C139" s="12" t="str">
        <f aca="false">IF(B139="","",IFERROR(INDEX('Qualifier Registry'!$B$4:$B$103,MATCH(B139,'Qualifier Registry'!$A$4:$A$103,0)),"Not found"))</f>
        <v/>
      </c>
      <c r="D139" s="6"/>
      <c r="E139" s="13" t="str">
        <f aca="false">IF(D139="","",IFERROR(INDEX('Reference Tables'!$B$3:$B$8,MATCH(D139,'Reference Tables'!$A$3:$A$8,0)),"Invalid package"))</f>
        <v/>
      </c>
      <c r="F139" s="12" t="str">
        <f aca="false">IF(D139="","",IFERROR(INDEX('Reference Tables'!$C$3:$C$8,MATCH(D139,'Reference Tables'!$A$3:$A$8,0)),"Invalid package"))</f>
        <v/>
      </c>
      <c r="G139" s="14" t="str">
        <f aca="false">IF(E139="","",'Reference Tables'!$C$13)</f>
        <v/>
      </c>
      <c r="H139" s="12" t="str">
        <f aca="false">IF(E139="","",IF(E139&gt;=150,"Yes","No"))</f>
        <v/>
      </c>
      <c r="I139" s="13" t="str">
        <f aca="false">IF(E139="","",IF(H139="Yes",E139*G139,0))</f>
        <v/>
      </c>
      <c r="J139" s="13" t="str">
        <f aca="false">IF(E139="","",E139-I139)</f>
        <v/>
      </c>
      <c r="K139" s="6"/>
      <c r="L139" s="6"/>
    </row>
    <row r="140" customFormat="false" ht="15" hidden="false" customHeight="false" outlineLevel="0" collapsed="false">
      <c r="A140" s="11"/>
      <c r="B140" s="6"/>
      <c r="C140" s="12" t="str">
        <f aca="false">IF(B140="","",IFERROR(INDEX('Qualifier Registry'!$B$4:$B$103,MATCH(B140,'Qualifier Registry'!$A$4:$A$103,0)),"Not found"))</f>
        <v/>
      </c>
      <c r="D140" s="6"/>
      <c r="E140" s="13" t="str">
        <f aca="false">IF(D140="","",IFERROR(INDEX('Reference Tables'!$B$3:$B$8,MATCH(D140,'Reference Tables'!$A$3:$A$8,0)),"Invalid package"))</f>
        <v/>
      </c>
      <c r="F140" s="12" t="str">
        <f aca="false">IF(D140="","",IFERROR(INDEX('Reference Tables'!$C$3:$C$8,MATCH(D140,'Reference Tables'!$A$3:$A$8,0)),"Invalid package"))</f>
        <v/>
      </c>
      <c r="G140" s="14" t="str">
        <f aca="false">IF(E140="","",'Reference Tables'!$C$13)</f>
        <v/>
      </c>
      <c r="H140" s="12" t="str">
        <f aca="false">IF(E140="","",IF(E140&gt;=150,"Yes","No"))</f>
        <v/>
      </c>
      <c r="I140" s="13" t="str">
        <f aca="false">IF(E140="","",IF(H140="Yes",E140*G140,0))</f>
        <v/>
      </c>
      <c r="J140" s="13" t="str">
        <f aca="false">IF(E140="","",E140-I140)</f>
        <v/>
      </c>
      <c r="K140" s="6"/>
      <c r="L140" s="6"/>
    </row>
    <row r="141" customFormat="false" ht="15" hidden="false" customHeight="false" outlineLevel="0" collapsed="false">
      <c r="A141" s="11"/>
      <c r="B141" s="6"/>
      <c r="C141" s="12" t="str">
        <f aca="false">IF(B141="","",IFERROR(INDEX('Qualifier Registry'!$B$4:$B$103,MATCH(B141,'Qualifier Registry'!$A$4:$A$103,0)),"Not found"))</f>
        <v/>
      </c>
      <c r="D141" s="6"/>
      <c r="E141" s="13" t="str">
        <f aca="false">IF(D141="","",IFERROR(INDEX('Reference Tables'!$B$3:$B$8,MATCH(D141,'Reference Tables'!$A$3:$A$8,0)),"Invalid package"))</f>
        <v/>
      </c>
      <c r="F141" s="12" t="str">
        <f aca="false">IF(D141="","",IFERROR(INDEX('Reference Tables'!$C$3:$C$8,MATCH(D141,'Reference Tables'!$A$3:$A$8,0)),"Invalid package"))</f>
        <v/>
      </c>
      <c r="G141" s="14" t="str">
        <f aca="false">IF(E141="","",'Reference Tables'!$C$13)</f>
        <v/>
      </c>
      <c r="H141" s="12" t="str">
        <f aca="false">IF(E141="","",IF(E141&gt;=150,"Yes","No"))</f>
        <v/>
      </c>
      <c r="I141" s="13" t="str">
        <f aca="false">IF(E141="","",IF(H141="Yes",E141*G141,0))</f>
        <v/>
      </c>
      <c r="J141" s="13" t="str">
        <f aca="false">IF(E141="","",E141-I141)</f>
        <v/>
      </c>
      <c r="K141" s="6"/>
      <c r="L141" s="6"/>
    </row>
    <row r="142" customFormat="false" ht="15" hidden="false" customHeight="false" outlineLevel="0" collapsed="false">
      <c r="A142" s="11"/>
      <c r="B142" s="6"/>
      <c r="C142" s="12" t="str">
        <f aca="false">IF(B142="","",IFERROR(INDEX('Qualifier Registry'!$B$4:$B$103,MATCH(B142,'Qualifier Registry'!$A$4:$A$103,0)),"Not found"))</f>
        <v/>
      </c>
      <c r="D142" s="6"/>
      <c r="E142" s="13" t="str">
        <f aca="false">IF(D142="","",IFERROR(INDEX('Reference Tables'!$B$3:$B$8,MATCH(D142,'Reference Tables'!$A$3:$A$8,0)),"Invalid package"))</f>
        <v/>
      </c>
      <c r="F142" s="12" t="str">
        <f aca="false">IF(D142="","",IFERROR(INDEX('Reference Tables'!$C$3:$C$8,MATCH(D142,'Reference Tables'!$A$3:$A$8,0)),"Invalid package"))</f>
        <v/>
      </c>
      <c r="G142" s="14" t="str">
        <f aca="false">IF(E142="","",'Reference Tables'!$C$13)</f>
        <v/>
      </c>
      <c r="H142" s="12" t="str">
        <f aca="false">IF(E142="","",IF(E142&gt;=150,"Yes","No"))</f>
        <v/>
      </c>
      <c r="I142" s="13" t="str">
        <f aca="false">IF(E142="","",IF(H142="Yes",E142*G142,0))</f>
        <v/>
      </c>
      <c r="J142" s="13" t="str">
        <f aca="false">IF(E142="","",E142-I142)</f>
        <v/>
      </c>
      <c r="K142" s="6"/>
      <c r="L142" s="6"/>
    </row>
    <row r="143" customFormat="false" ht="15" hidden="false" customHeight="false" outlineLevel="0" collapsed="false">
      <c r="A143" s="11"/>
      <c r="B143" s="6"/>
      <c r="C143" s="12" t="str">
        <f aca="false">IF(B143="","",IFERROR(INDEX('Qualifier Registry'!$B$4:$B$103,MATCH(B143,'Qualifier Registry'!$A$4:$A$103,0)),"Not found"))</f>
        <v/>
      </c>
      <c r="D143" s="6"/>
      <c r="E143" s="13" t="str">
        <f aca="false">IF(D143="","",IFERROR(INDEX('Reference Tables'!$B$3:$B$8,MATCH(D143,'Reference Tables'!$A$3:$A$8,0)),"Invalid package"))</f>
        <v/>
      </c>
      <c r="F143" s="12" t="str">
        <f aca="false">IF(D143="","",IFERROR(INDEX('Reference Tables'!$C$3:$C$8,MATCH(D143,'Reference Tables'!$A$3:$A$8,0)),"Invalid package"))</f>
        <v/>
      </c>
      <c r="G143" s="14" t="str">
        <f aca="false">IF(E143="","",'Reference Tables'!$C$13)</f>
        <v/>
      </c>
      <c r="H143" s="12" t="str">
        <f aca="false">IF(E143="","",IF(E143&gt;=150,"Yes","No"))</f>
        <v/>
      </c>
      <c r="I143" s="13" t="str">
        <f aca="false">IF(E143="","",IF(H143="Yes",E143*G143,0))</f>
        <v/>
      </c>
      <c r="J143" s="13" t="str">
        <f aca="false">IF(E143="","",E143-I143)</f>
        <v/>
      </c>
      <c r="K143" s="6"/>
      <c r="L143" s="6"/>
    </row>
    <row r="144" customFormat="false" ht="15" hidden="false" customHeight="false" outlineLevel="0" collapsed="false">
      <c r="A144" s="11"/>
      <c r="B144" s="6"/>
      <c r="C144" s="12" t="str">
        <f aca="false">IF(B144="","",IFERROR(INDEX('Qualifier Registry'!$B$4:$B$103,MATCH(B144,'Qualifier Registry'!$A$4:$A$103,0)),"Not found"))</f>
        <v/>
      </c>
      <c r="D144" s="6"/>
      <c r="E144" s="13" t="str">
        <f aca="false">IF(D144="","",IFERROR(INDEX('Reference Tables'!$B$3:$B$8,MATCH(D144,'Reference Tables'!$A$3:$A$8,0)),"Invalid package"))</f>
        <v/>
      </c>
      <c r="F144" s="12" t="str">
        <f aca="false">IF(D144="","",IFERROR(INDEX('Reference Tables'!$C$3:$C$8,MATCH(D144,'Reference Tables'!$A$3:$A$8,0)),"Invalid package"))</f>
        <v/>
      </c>
      <c r="G144" s="14" t="str">
        <f aca="false">IF(E144="","",'Reference Tables'!$C$13)</f>
        <v/>
      </c>
      <c r="H144" s="12" t="str">
        <f aca="false">IF(E144="","",IF(E144&gt;=150,"Yes","No"))</f>
        <v/>
      </c>
      <c r="I144" s="13" t="str">
        <f aca="false">IF(E144="","",IF(H144="Yes",E144*G144,0))</f>
        <v/>
      </c>
      <c r="J144" s="13" t="str">
        <f aca="false">IF(E144="","",E144-I144)</f>
        <v/>
      </c>
      <c r="K144" s="6"/>
      <c r="L144" s="6"/>
    </row>
    <row r="145" customFormat="false" ht="15" hidden="false" customHeight="false" outlineLevel="0" collapsed="false">
      <c r="A145" s="11"/>
      <c r="B145" s="6"/>
      <c r="C145" s="12" t="str">
        <f aca="false">IF(B145="","",IFERROR(INDEX('Qualifier Registry'!$B$4:$B$103,MATCH(B145,'Qualifier Registry'!$A$4:$A$103,0)),"Not found"))</f>
        <v/>
      </c>
      <c r="D145" s="6"/>
      <c r="E145" s="13" t="str">
        <f aca="false">IF(D145="","",IFERROR(INDEX('Reference Tables'!$B$3:$B$8,MATCH(D145,'Reference Tables'!$A$3:$A$8,0)),"Invalid package"))</f>
        <v/>
      </c>
      <c r="F145" s="12" t="str">
        <f aca="false">IF(D145="","",IFERROR(INDEX('Reference Tables'!$C$3:$C$8,MATCH(D145,'Reference Tables'!$A$3:$A$8,0)),"Invalid package"))</f>
        <v/>
      </c>
      <c r="G145" s="14" t="str">
        <f aca="false">IF(E145="","",'Reference Tables'!$C$13)</f>
        <v/>
      </c>
      <c r="H145" s="12" t="str">
        <f aca="false">IF(E145="","",IF(E145&gt;=150,"Yes","No"))</f>
        <v/>
      </c>
      <c r="I145" s="13" t="str">
        <f aca="false">IF(E145="","",IF(H145="Yes",E145*G145,0))</f>
        <v/>
      </c>
      <c r="J145" s="13" t="str">
        <f aca="false">IF(E145="","",E145-I145)</f>
        <v/>
      </c>
      <c r="K145" s="6"/>
      <c r="L145" s="6"/>
    </row>
    <row r="146" customFormat="false" ht="15" hidden="false" customHeight="false" outlineLevel="0" collapsed="false">
      <c r="A146" s="11"/>
      <c r="B146" s="6"/>
      <c r="C146" s="12" t="str">
        <f aca="false">IF(B146="","",IFERROR(INDEX('Qualifier Registry'!$B$4:$B$103,MATCH(B146,'Qualifier Registry'!$A$4:$A$103,0)),"Not found"))</f>
        <v/>
      </c>
      <c r="D146" s="6"/>
      <c r="E146" s="13" t="str">
        <f aca="false">IF(D146="","",IFERROR(INDEX('Reference Tables'!$B$3:$B$8,MATCH(D146,'Reference Tables'!$A$3:$A$8,0)),"Invalid package"))</f>
        <v/>
      </c>
      <c r="F146" s="12" t="str">
        <f aca="false">IF(D146="","",IFERROR(INDEX('Reference Tables'!$C$3:$C$8,MATCH(D146,'Reference Tables'!$A$3:$A$8,0)),"Invalid package"))</f>
        <v/>
      </c>
      <c r="G146" s="14" t="str">
        <f aca="false">IF(E146="","",'Reference Tables'!$C$13)</f>
        <v/>
      </c>
      <c r="H146" s="12" t="str">
        <f aca="false">IF(E146="","",IF(E146&gt;=150,"Yes","No"))</f>
        <v/>
      </c>
      <c r="I146" s="13" t="str">
        <f aca="false">IF(E146="","",IF(H146="Yes",E146*G146,0))</f>
        <v/>
      </c>
      <c r="J146" s="13" t="str">
        <f aca="false">IF(E146="","",E146-I146)</f>
        <v/>
      </c>
      <c r="K146" s="6"/>
      <c r="L146" s="6"/>
    </row>
    <row r="147" customFormat="false" ht="15" hidden="false" customHeight="false" outlineLevel="0" collapsed="false">
      <c r="A147" s="11"/>
      <c r="B147" s="6"/>
      <c r="C147" s="12" t="str">
        <f aca="false">IF(B147="","",IFERROR(INDEX('Qualifier Registry'!$B$4:$B$103,MATCH(B147,'Qualifier Registry'!$A$4:$A$103,0)),"Not found"))</f>
        <v/>
      </c>
      <c r="D147" s="6"/>
      <c r="E147" s="13" t="str">
        <f aca="false">IF(D147="","",IFERROR(INDEX('Reference Tables'!$B$3:$B$8,MATCH(D147,'Reference Tables'!$A$3:$A$8,0)),"Invalid package"))</f>
        <v/>
      </c>
      <c r="F147" s="12" t="str">
        <f aca="false">IF(D147="","",IFERROR(INDEX('Reference Tables'!$C$3:$C$8,MATCH(D147,'Reference Tables'!$A$3:$A$8,0)),"Invalid package"))</f>
        <v/>
      </c>
      <c r="G147" s="14" t="str">
        <f aca="false">IF(E147="","",'Reference Tables'!$C$13)</f>
        <v/>
      </c>
      <c r="H147" s="12" t="str">
        <f aca="false">IF(E147="","",IF(E147&gt;=150,"Yes","No"))</f>
        <v/>
      </c>
      <c r="I147" s="13" t="str">
        <f aca="false">IF(E147="","",IF(H147="Yes",E147*G147,0))</f>
        <v/>
      </c>
      <c r="J147" s="13" t="str">
        <f aca="false">IF(E147="","",E147-I147)</f>
        <v/>
      </c>
      <c r="K147" s="6"/>
      <c r="L147" s="6"/>
    </row>
    <row r="148" customFormat="false" ht="15" hidden="false" customHeight="false" outlineLevel="0" collapsed="false">
      <c r="A148" s="11"/>
      <c r="B148" s="6"/>
      <c r="C148" s="12" t="str">
        <f aca="false">IF(B148="","",IFERROR(INDEX('Qualifier Registry'!$B$4:$B$103,MATCH(B148,'Qualifier Registry'!$A$4:$A$103,0)),"Not found"))</f>
        <v/>
      </c>
      <c r="D148" s="6"/>
      <c r="E148" s="13" t="str">
        <f aca="false">IF(D148="","",IFERROR(INDEX('Reference Tables'!$B$3:$B$8,MATCH(D148,'Reference Tables'!$A$3:$A$8,0)),"Invalid package"))</f>
        <v/>
      </c>
      <c r="F148" s="12" t="str">
        <f aca="false">IF(D148="","",IFERROR(INDEX('Reference Tables'!$C$3:$C$8,MATCH(D148,'Reference Tables'!$A$3:$A$8,0)),"Invalid package"))</f>
        <v/>
      </c>
      <c r="G148" s="14" t="str">
        <f aca="false">IF(E148="","",'Reference Tables'!$C$13)</f>
        <v/>
      </c>
      <c r="H148" s="12" t="str">
        <f aca="false">IF(E148="","",IF(E148&gt;=150,"Yes","No"))</f>
        <v/>
      </c>
      <c r="I148" s="13" t="str">
        <f aca="false">IF(E148="","",IF(H148="Yes",E148*G148,0))</f>
        <v/>
      </c>
      <c r="J148" s="13" t="str">
        <f aca="false">IF(E148="","",E148-I148)</f>
        <v/>
      </c>
      <c r="K148" s="6"/>
      <c r="L148" s="6"/>
    </row>
    <row r="149" customFormat="false" ht="15" hidden="false" customHeight="false" outlineLevel="0" collapsed="false">
      <c r="A149" s="11"/>
      <c r="B149" s="6"/>
      <c r="C149" s="12" t="str">
        <f aca="false">IF(B149="","",IFERROR(INDEX('Qualifier Registry'!$B$4:$B$103,MATCH(B149,'Qualifier Registry'!$A$4:$A$103,0)),"Not found"))</f>
        <v/>
      </c>
      <c r="D149" s="6"/>
      <c r="E149" s="13" t="str">
        <f aca="false">IF(D149="","",IFERROR(INDEX('Reference Tables'!$B$3:$B$8,MATCH(D149,'Reference Tables'!$A$3:$A$8,0)),"Invalid package"))</f>
        <v/>
      </c>
      <c r="F149" s="12" t="str">
        <f aca="false">IF(D149="","",IFERROR(INDEX('Reference Tables'!$C$3:$C$8,MATCH(D149,'Reference Tables'!$A$3:$A$8,0)),"Invalid package"))</f>
        <v/>
      </c>
      <c r="G149" s="14" t="str">
        <f aca="false">IF(E149="","",'Reference Tables'!$C$13)</f>
        <v/>
      </c>
      <c r="H149" s="12" t="str">
        <f aca="false">IF(E149="","",IF(E149&gt;=150,"Yes","No"))</f>
        <v/>
      </c>
      <c r="I149" s="13" t="str">
        <f aca="false">IF(E149="","",IF(H149="Yes",E149*G149,0))</f>
        <v/>
      </c>
      <c r="J149" s="13" t="str">
        <f aca="false">IF(E149="","",E149-I149)</f>
        <v/>
      </c>
      <c r="K149" s="6"/>
      <c r="L149" s="6"/>
    </row>
    <row r="150" customFormat="false" ht="15" hidden="false" customHeight="false" outlineLevel="0" collapsed="false">
      <c r="A150" s="11"/>
      <c r="B150" s="6"/>
      <c r="C150" s="12" t="str">
        <f aca="false">IF(B150="","",IFERROR(INDEX('Qualifier Registry'!$B$4:$B$103,MATCH(B150,'Qualifier Registry'!$A$4:$A$103,0)),"Not found"))</f>
        <v/>
      </c>
      <c r="D150" s="6"/>
      <c r="E150" s="13" t="str">
        <f aca="false">IF(D150="","",IFERROR(INDEX('Reference Tables'!$B$3:$B$8,MATCH(D150,'Reference Tables'!$A$3:$A$8,0)),"Invalid package"))</f>
        <v/>
      </c>
      <c r="F150" s="12" t="str">
        <f aca="false">IF(D150="","",IFERROR(INDEX('Reference Tables'!$C$3:$C$8,MATCH(D150,'Reference Tables'!$A$3:$A$8,0)),"Invalid package"))</f>
        <v/>
      </c>
      <c r="G150" s="14" t="str">
        <f aca="false">IF(E150="","",'Reference Tables'!$C$13)</f>
        <v/>
      </c>
      <c r="H150" s="12" t="str">
        <f aca="false">IF(E150="","",IF(E150&gt;=150,"Yes","No"))</f>
        <v/>
      </c>
      <c r="I150" s="13" t="str">
        <f aca="false">IF(E150="","",IF(H150="Yes",E150*G150,0))</f>
        <v/>
      </c>
      <c r="J150" s="13" t="str">
        <f aca="false">IF(E150="","",E150-I150)</f>
        <v/>
      </c>
      <c r="K150" s="6"/>
      <c r="L150" s="6"/>
    </row>
    <row r="151" customFormat="false" ht="15" hidden="false" customHeight="false" outlineLevel="0" collapsed="false">
      <c r="A151" s="11"/>
      <c r="B151" s="6"/>
      <c r="C151" s="12" t="str">
        <f aca="false">IF(B151="","",IFERROR(INDEX('Qualifier Registry'!$B$4:$B$103,MATCH(B151,'Qualifier Registry'!$A$4:$A$103,0)),"Not found"))</f>
        <v/>
      </c>
      <c r="D151" s="6"/>
      <c r="E151" s="13" t="str">
        <f aca="false">IF(D151="","",IFERROR(INDEX('Reference Tables'!$B$3:$B$8,MATCH(D151,'Reference Tables'!$A$3:$A$8,0)),"Invalid package"))</f>
        <v/>
      </c>
      <c r="F151" s="12" t="str">
        <f aca="false">IF(D151="","",IFERROR(INDEX('Reference Tables'!$C$3:$C$8,MATCH(D151,'Reference Tables'!$A$3:$A$8,0)),"Invalid package"))</f>
        <v/>
      </c>
      <c r="G151" s="14" t="str">
        <f aca="false">IF(E151="","",'Reference Tables'!$C$13)</f>
        <v/>
      </c>
      <c r="H151" s="12" t="str">
        <f aca="false">IF(E151="","",IF(E151&gt;=150,"Yes","No"))</f>
        <v/>
      </c>
      <c r="I151" s="13" t="str">
        <f aca="false">IF(E151="","",IF(H151="Yes",E151*G151,0))</f>
        <v/>
      </c>
      <c r="J151" s="13" t="str">
        <f aca="false">IF(E151="","",E151-I151)</f>
        <v/>
      </c>
      <c r="K151" s="6"/>
      <c r="L151" s="6"/>
    </row>
    <row r="152" customFormat="false" ht="15" hidden="false" customHeight="false" outlineLevel="0" collapsed="false">
      <c r="A152" s="11"/>
      <c r="B152" s="6"/>
      <c r="C152" s="12" t="str">
        <f aca="false">IF(B152="","",IFERROR(INDEX('Qualifier Registry'!$B$4:$B$103,MATCH(B152,'Qualifier Registry'!$A$4:$A$103,0)),"Not found"))</f>
        <v/>
      </c>
      <c r="D152" s="6"/>
      <c r="E152" s="13" t="str">
        <f aca="false">IF(D152="","",IFERROR(INDEX('Reference Tables'!$B$3:$B$8,MATCH(D152,'Reference Tables'!$A$3:$A$8,0)),"Invalid package"))</f>
        <v/>
      </c>
      <c r="F152" s="12" t="str">
        <f aca="false">IF(D152="","",IFERROR(INDEX('Reference Tables'!$C$3:$C$8,MATCH(D152,'Reference Tables'!$A$3:$A$8,0)),"Invalid package"))</f>
        <v/>
      </c>
      <c r="G152" s="14" t="str">
        <f aca="false">IF(E152="","",'Reference Tables'!$C$13)</f>
        <v/>
      </c>
      <c r="H152" s="12" t="str">
        <f aca="false">IF(E152="","",IF(E152&gt;=150,"Yes","No"))</f>
        <v/>
      </c>
      <c r="I152" s="13" t="str">
        <f aca="false">IF(E152="","",IF(H152="Yes",E152*G152,0))</f>
        <v/>
      </c>
      <c r="J152" s="13" t="str">
        <f aca="false">IF(E152="","",E152-I152)</f>
        <v/>
      </c>
      <c r="K152" s="6"/>
      <c r="L152" s="6"/>
    </row>
    <row r="153" customFormat="false" ht="15" hidden="false" customHeight="false" outlineLevel="0" collapsed="false">
      <c r="A153" s="11"/>
      <c r="B153" s="6"/>
      <c r="C153" s="12" t="str">
        <f aca="false">IF(B153="","",IFERROR(INDEX('Qualifier Registry'!$B$4:$B$103,MATCH(B153,'Qualifier Registry'!$A$4:$A$103,0)),"Not found"))</f>
        <v/>
      </c>
      <c r="D153" s="6"/>
      <c r="E153" s="13" t="str">
        <f aca="false">IF(D153="","",IFERROR(INDEX('Reference Tables'!$B$3:$B$8,MATCH(D153,'Reference Tables'!$A$3:$A$8,0)),"Invalid package"))</f>
        <v/>
      </c>
      <c r="F153" s="12" t="str">
        <f aca="false">IF(D153="","",IFERROR(INDEX('Reference Tables'!$C$3:$C$8,MATCH(D153,'Reference Tables'!$A$3:$A$8,0)),"Invalid package"))</f>
        <v/>
      </c>
      <c r="G153" s="14" t="str">
        <f aca="false">IF(E153="","",'Reference Tables'!$C$13)</f>
        <v/>
      </c>
      <c r="H153" s="12" t="str">
        <f aca="false">IF(E153="","",IF(E153&gt;=150,"Yes","No"))</f>
        <v/>
      </c>
      <c r="I153" s="13" t="str">
        <f aca="false">IF(E153="","",IF(H153="Yes",E153*G153,0))</f>
        <v/>
      </c>
      <c r="J153" s="13" t="str">
        <f aca="false">IF(E153="","",E153-I153)</f>
        <v/>
      </c>
      <c r="K153" s="6"/>
      <c r="L153" s="6"/>
    </row>
    <row r="154" customFormat="false" ht="15" hidden="false" customHeight="false" outlineLevel="0" collapsed="false">
      <c r="A154" s="11"/>
      <c r="B154" s="6"/>
      <c r="C154" s="12" t="str">
        <f aca="false">IF(B154="","",IFERROR(INDEX('Qualifier Registry'!$B$4:$B$103,MATCH(B154,'Qualifier Registry'!$A$4:$A$103,0)),"Not found"))</f>
        <v/>
      </c>
      <c r="D154" s="6"/>
      <c r="E154" s="13" t="str">
        <f aca="false">IF(D154="","",IFERROR(INDEX('Reference Tables'!$B$3:$B$8,MATCH(D154,'Reference Tables'!$A$3:$A$8,0)),"Invalid package"))</f>
        <v/>
      </c>
      <c r="F154" s="12" t="str">
        <f aca="false">IF(D154="","",IFERROR(INDEX('Reference Tables'!$C$3:$C$8,MATCH(D154,'Reference Tables'!$A$3:$A$8,0)),"Invalid package"))</f>
        <v/>
      </c>
      <c r="G154" s="14" t="str">
        <f aca="false">IF(E154="","",'Reference Tables'!$C$13)</f>
        <v/>
      </c>
      <c r="H154" s="12" t="str">
        <f aca="false">IF(E154="","",IF(E154&gt;=150,"Yes","No"))</f>
        <v/>
      </c>
      <c r="I154" s="13" t="str">
        <f aca="false">IF(E154="","",IF(H154="Yes",E154*G154,0))</f>
        <v/>
      </c>
      <c r="J154" s="13" t="str">
        <f aca="false">IF(E154="","",E154-I154)</f>
        <v/>
      </c>
      <c r="K154" s="6"/>
      <c r="L154" s="6"/>
    </row>
    <row r="155" customFormat="false" ht="15" hidden="false" customHeight="false" outlineLevel="0" collapsed="false">
      <c r="A155" s="11"/>
      <c r="B155" s="6"/>
      <c r="C155" s="12" t="str">
        <f aca="false">IF(B155="","",IFERROR(INDEX('Qualifier Registry'!$B$4:$B$103,MATCH(B155,'Qualifier Registry'!$A$4:$A$103,0)),"Not found"))</f>
        <v/>
      </c>
      <c r="D155" s="6"/>
      <c r="E155" s="13" t="str">
        <f aca="false">IF(D155="","",IFERROR(INDEX('Reference Tables'!$B$3:$B$8,MATCH(D155,'Reference Tables'!$A$3:$A$8,0)),"Invalid package"))</f>
        <v/>
      </c>
      <c r="F155" s="12" t="str">
        <f aca="false">IF(D155="","",IFERROR(INDEX('Reference Tables'!$C$3:$C$8,MATCH(D155,'Reference Tables'!$A$3:$A$8,0)),"Invalid package"))</f>
        <v/>
      </c>
      <c r="G155" s="14" t="str">
        <f aca="false">IF(E155="","",'Reference Tables'!$C$13)</f>
        <v/>
      </c>
      <c r="H155" s="12" t="str">
        <f aca="false">IF(E155="","",IF(E155&gt;=150,"Yes","No"))</f>
        <v/>
      </c>
      <c r="I155" s="13" t="str">
        <f aca="false">IF(E155="","",IF(H155="Yes",E155*G155,0))</f>
        <v/>
      </c>
      <c r="J155" s="13" t="str">
        <f aca="false">IF(E155="","",E155-I155)</f>
        <v/>
      </c>
      <c r="K155" s="6"/>
      <c r="L155" s="6"/>
    </row>
    <row r="156" customFormat="false" ht="15" hidden="false" customHeight="false" outlineLevel="0" collapsed="false">
      <c r="A156" s="11"/>
      <c r="B156" s="6"/>
      <c r="C156" s="12" t="str">
        <f aca="false">IF(B156="","",IFERROR(INDEX('Qualifier Registry'!$B$4:$B$103,MATCH(B156,'Qualifier Registry'!$A$4:$A$103,0)),"Not found"))</f>
        <v/>
      </c>
      <c r="D156" s="6"/>
      <c r="E156" s="13" t="str">
        <f aca="false">IF(D156="","",IFERROR(INDEX('Reference Tables'!$B$3:$B$8,MATCH(D156,'Reference Tables'!$A$3:$A$8,0)),"Invalid package"))</f>
        <v/>
      </c>
      <c r="F156" s="12" t="str">
        <f aca="false">IF(D156="","",IFERROR(INDEX('Reference Tables'!$C$3:$C$8,MATCH(D156,'Reference Tables'!$A$3:$A$8,0)),"Invalid package"))</f>
        <v/>
      </c>
      <c r="G156" s="14" t="str">
        <f aca="false">IF(E156="","",'Reference Tables'!$C$13)</f>
        <v/>
      </c>
      <c r="H156" s="12" t="str">
        <f aca="false">IF(E156="","",IF(E156&gt;=150,"Yes","No"))</f>
        <v/>
      </c>
      <c r="I156" s="13" t="str">
        <f aca="false">IF(E156="","",IF(H156="Yes",E156*G156,0))</f>
        <v/>
      </c>
      <c r="J156" s="13" t="str">
        <f aca="false">IF(E156="","",E156-I156)</f>
        <v/>
      </c>
      <c r="K156" s="6"/>
      <c r="L156" s="6"/>
    </row>
    <row r="157" customFormat="false" ht="15" hidden="false" customHeight="false" outlineLevel="0" collapsed="false">
      <c r="A157" s="11"/>
      <c r="B157" s="6"/>
      <c r="C157" s="12" t="str">
        <f aca="false">IF(B157="","",IFERROR(INDEX('Qualifier Registry'!$B$4:$B$103,MATCH(B157,'Qualifier Registry'!$A$4:$A$103,0)),"Not found"))</f>
        <v/>
      </c>
      <c r="D157" s="6"/>
      <c r="E157" s="13" t="str">
        <f aca="false">IF(D157="","",IFERROR(INDEX('Reference Tables'!$B$3:$B$8,MATCH(D157,'Reference Tables'!$A$3:$A$8,0)),"Invalid package"))</f>
        <v/>
      </c>
      <c r="F157" s="12" t="str">
        <f aca="false">IF(D157="","",IFERROR(INDEX('Reference Tables'!$C$3:$C$8,MATCH(D157,'Reference Tables'!$A$3:$A$8,0)),"Invalid package"))</f>
        <v/>
      </c>
      <c r="G157" s="14" t="str">
        <f aca="false">IF(E157="","",'Reference Tables'!$C$13)</f>
        <v/>
      </c>
      <c r="H157" s="12" t="str">
        <f aca="false">IF(E157="","",IF(E157&gt;=150,"Yes","No"))</f>
        <v/>
      </c>
      <c r="I157" s="13" t="str">
        <f aca="false">IF(E157="","",IF(H157="Yes",E157*G157,0))</f>
        <v/>
      </c>
      <c r="J157" s="13" t="str">
        <f aca="false">IF(E157="","",E157-I157)</f>
        <v/>
      </c>
      <c r="K157" s="6"/>
      <c r="L157" s="6"/>
    </row>
    <row r="158" customFormat="false" ht="15" hidden="false" customHeight="false" outlineLevel="0" collapsed="false">
      <c r="A158" s="11"/>
      <c r="B158" s="6"/>
      <c r="C158" s="12" t="str">
        <f aca="false">IF(B158="","",IFERROR(INDEX('Qualifier Registry'!$B$4:$B$103,MATCH(B158,'Qualifier Registry'!$A$4:$A$103,0)),"Not found"))</f>
        <v/>
      </c>
      <c r="D158" s="6"/>
      <c r="E158" s="13" t="str">
        <f aca="false">IF(D158="","",IFERROR(INDEX('Reference Tables'!$B$3:$B$8,MATCH(D158,'Reference Tables'!$A$3:$A$8,0)),"Invalid package"))</f>
        <v/>
      </c>
      <c r="F158" s="12" t="str">
        <f aca="false">IF(D158="","",IFERROR(INDEX('Reference Tables'!$C$3:$C$8,MATCH(D158,'Reference Tables'!$A$3:$A$8,0)),"Invalid package"))</f>
        <v/>
      </c>
      <c r="G158" s="14" t="str">
        <f aca="false">IF(E158="","",'Reference Tables'!$C$13)</f>
        <v/>
      </c>
      <c r="H158" s="12" t="str">
        <f aca="false">IF(E158="","",IF(E158&gt;=150,"Yes","No"))</f>
        <v/>
      </c>
      <c r="I158" s="13" t="str">
        <f aca="false">IF(E158="","",IF(H158="Yes",E158*G158,0))</f>
        <v/>
      </c>
      <c r="J158" s="13" t="str">
        <f aca="false">IF(E158="","",E158-I158)</f>
        <v/>
      </c>
      <c r="K158" s="6"/>
      <c r="L158" s="6"/>
    </row>
    <row r="159" customFormat="false" ht="15" hidden="false" customHeight="false" outlineLevel="0" collapsed="false">
      <c r="A159" s="11"/>
      <c r="B159" s="6"/>
      <c r="C159" s="12" t="str">
        <f aca="false">IF(B159="","",IFERROR(INDEX('Qualifier Registry'!$B$4:$B$103,MATCH(B159,'Qualifier Registry'!$A$4:$A$103,0)),"Not found"))</f>
        <v/>
      </c>
      <c r="D159" s="6"/>
      <c r="E159" s="13" t="str">
        <f aca="false">IF(D159="","",IFERROR(INDEX('Reference Tables'!$B$3:$B$8,MATCH(D159,'Reference Tables'!$A$3:$A$8,0)),"Invalid package"))</f>
        <v/>
      </c>
      <c r="F159" s="12" t="str">
        <f aca="false">IF(D159="","",IFERROR(INDEX('Reference Tables'!$C$3:$C$8,MATCH(D159,'Reference Tables'!$A$3:$A$8,0)),"Invalid package"))</f>
        <v/>
      </c>
      <c r="G159" s="14" t="str">
        <f aca="false">IF(E159="","",'Reference Tables'!$C$13)</f>
        <v/>
      </c>
      <c r="H159" s="12" t="str">
        <f aca="false">IF(E159="","",IF(E159&gt;=150,"Yes","No"))</f>
        <v/>
      </c>
      <c r="I159" s="13" t="str">
        <f aca="false">IF(E159="","",IF(H159="Yes",E159*G159,0))</f>
        <v/>
      </c>
      <c r="J159" s="13" t="str">
        <f aca="false">IF(E159="","",E159-I159)</f>
        <v/>
      </c>
      <c r="K159" s="6"/>
      <c r="L159" s="6"/>
    </row>
    <row r="160" customFormat="false" ht="15" hidden="false" customHeight="false" outlineLevel="0" collapsed="false">
      <c r="A160" s="11"/>
      <c r="B160" s="6"/>
      <c r="C160" s="12" t="str">
        <f aca="false">IF(B160="","",IFERROR(INDEX('Qualifier Registry'!$B$4:$B$103,MATCH(B160,'Qualifier Registry'!$A$4:$A$103,0)),"Not found"))</f>
        <v/>
      </c>
      <c r="D160" s="6"/>
      <c r="E160" s="13" t="str">
        <f aca="false">IF(D160="","",IFERROR(INDEX('Reference Tables'!$B$3:$B$8,MATCH(D160,'Reference Tables'!$A$3:$A$8,0)),"Invalid package"))</f>
        <v/>
      </c>
      <c r="F160" s="12" t="str">
        <f aca="false">IF(D160="","",IFERROR(INDEX('Reference Tables'!$C$3:$C$8,MATCH(D160,'Reference Tables'!$A$3:$A$8,0)),"Invalid package"))</f>
        <v/>
      </c>
      <c r="G160" s="14" t="str">
        <f aca="false">IF(E160="","",'Reference Tables'!$C$13)</f>
        <v/>
      </c>
      <c r="H160" s="12" t="str">
        <f aca="false">IF(E160="","",IF(E160&gt;=150,"Yes","No"))</f>
        <v/>
      </c>
      <c r="I160" s="13" t="str">
        <f aca="false">IF(E160="","",IF(H160="Yes",E160*G160,0))</f>
        <v/>
      </c>
      <c r="J160" s="13" t="str">
        <f aca="false">IF(E160="","",E160-I160)</f>
        <v/>
      </c>
      <c r="K160" s="6"/>
      <c r="L160" s="6"/>
    </row>
    <row r="161" customFormat="false" ht="15" hidden="false" customHeight="false" outlineLevel="0" collapsed="false">
      <c r="A161" s="11"/>
      <c r="B161" s="6"/>
      <c r="C161" s="12" t="str">
        <f aca="false">IF(B161="","",IFERROR(INDEX('Qualifier Registry'!$B$4:$B$103,MATCH(B161,'Qualifier Registry'!$A$4:$A$103,0)),"Not found"))</f>
        <v/>
      </c>
      <c r="D161" s="6"/>
      <c r="E161" s="13" t="str">
        <f aca="false">IF(D161="","",IFERROR(INDEX('Reference Tables'!$B$3:$B$8,MATCH(D161,'Reference Tables'!$A$3:$A$8,0)),"Invalid package"))</f>
        <v/>
      </c>
      <c r="F161" s="12" t="str">
        <f aca="false">IF(D161="","",IFERROR(INDEX('Reference Tables'!$C$3:$C$8,MATCH(D161,'Reference Tables'!$A$3:$A$8,0)),"Invalid package"))</f>
        <v/>
      </c>
      <c r="G161" s="14" t="str">
        <f aca="false">IF(E161="","",'Reference Tables'!$C$13)</f>
        <v/>
      </c>
      <c r="H161" s="12" t="str">
        <f aca="false">IF(E161="","",IF(E161&gt;=150,"Yes","No"))</f>
        <v/>
      </c>
      <c r="I161" s="13" t="str">
        <f aca="false">IF(E161="","",IF(H161="Yes",E161*G161,0))</f>
        <v/>
      </c>
      <c r="J161" s="13" t="str">
        <f aca="false">IF(E161="","",E161-I161)</f>
        <v/>
      </c>
      <c r="K161" s="6"/>
      <c r="L161" s="6"/>
    </row>
    <row r="162" customFormat="false" ht="15" hidden="false" customHeight="false" outlineLevel="0" collapsed="false">
      <c r="A162" s="11"/>
      <c r="B162" s="6"/>
      <c r="C162" s="12" t="str">
        <f aca="false">IF(B162="","",IFERROR(INDEX('Qualifier Registry'!$B$4:$B$103,MATCH(B162,'Qualifier Registry'!$A$4:$A$103,0)),"Not found"))</f>
        <v/>
      </c>
      <c r="D162" s="6"/>
      <c r="E162" s="13" t="str">
        <f aca="false">IF(D162="","",IFERROR(INDEX('Reference Tables'!$B$3:$B$8,MATCH(D162,'Reference Tables'!$A$3:$A$8,0)),"Invalid package"))</f>
        <v/>
      </c>
      <c r="F162" s="12" t="str">
        <f aca="false">IF(D162="","",IFERROR(INDEX('Reference Tables'!$C$3:$C$8,MATCH(D162,'Reference Tables'!$A$3:$A$8,0)),"Invalid package"))</f>
        <v/>
      </c>
      <c r="G162" s="14" t="str">
        <f aca="false">IF(E162="","",'Reference Tables'!$C$13)</f>
        <v/>
      </c>
      <c r="H162" s="12" t="str">
        <f aca="false">IF(E162="","",IF(E162&gt;=150,"Yes","No"))</f>
        <v/>
      </c>
      <c r="I162" s="13" t="str">
        <f aca="false">IF(E162="","",IF(H162="Yes",E162*G162,0))</f>
        <v/>
      </c>
      <c r="J162" s="13" t="str">
        <f aca="false">IF(E162="","",E162-I162)</f>
        <v/>
      </c>
      <c r="K162" s="6"/>
      <c r="L162" s="6"/>
    </row>
    <row r="163" customFormat="false" ht="15" hidden="false" customHeight="false" outlineLevel="0" collapsed="false">
      <c r="A163" s="11"/>
      <c r="B163" s="6"/>
      <c r="C163" s="12" t="str">
        <f aca="false">IF(B163="","",IFERROR(INDEX('Qualifier Registry'!$B$4:$B$103,MATCH(B163,'Qualifier Registry'!$A$4:$A$103,0)),"Not found"))</f>
        <v/>
      </c>
      <c r="D163" s="6"/>
      <c r="E163" s="13" t="str">
        <f aca="false">IF(D163="","",IFERROR(INDEX('Reference Tables'!$B$3:$B$8,MATCH(D163,'Reference Tables'!$A$3:$A$8,0)),"Invalid package"))</f>
        <v/>
      </c>
      <c r="F163" s="12" t="str">
        <f aca="false">IF(D163="","",IFERROR(INDEX('Reference Tables'!$C$3:$C$8,MATCH(D163,'Reference Tables'!$A$3:$A$8,0)),"Invalid package"))</f>
        <v/>
      </c>
      <c r="G163" s="14" t="str">
        <f aca="false">IF(E163="","",'Reference Tables'!$C$13)</f>
        <v/>
      </c>
      <c r="H163" s="12" t="str">
        <f aca="false">IF(E163="","",IF(E163&gt;=150,"Yes","No"))</f>
        <v/>
      </c>
      <c r="I163" s="13" t="str">
        <f aca="false">IF(E163="","",IF(H163="Yes",E163*G163,0))</f>
        <v/>
      </c>
      <c r="J163" s="13" t="str">
        <f aca="false">IF(E163="","",E163-I163)</f>
        <v/>
      </c>
      <c r="K163" s="6"/>
      <c r="L163" s="6"/>
    </row>
    <row r="164" customFormat="false" ht="15" hidden="false" customHeight="false" outlineLevel="0" collapsed="false">
      <c r="A164" s="11"/>
      <c r="B164" s="6"/>
      <c r="C164" s="12" t="str">
        <f aca="false">IF(B164="","",IFERROR(INDEX('Qualifier Registry'!$B$4:$B$103,MATCH(B164,'Qualifier Registry'!$A$4:$A$103,0)),"Not found"))</f>
        <v/>
      </c>
      <c r="D164" s="6"/>
      <c r="E164" s="13" t="str">
        <f aca="false">IF(D164="","",IFERROR(INDEX('Reference Tables'!$B$3:$B$8,MATCH(D164,'Reference Tables'!$A$3:$A$8,0)),"Invalid package"))</f>
        <v/>
      </c>
      <c r="F164" s="12" t="str">
        <f aca="false">IF(D164="","",IFERROR(INDEX('Reference Tables'!$C$3:$C$8,MATCH(D164,'Reference Tables'!$A$3:$A$8,0)),"Invalid package"))</f>
        <v/>
      </c>
      <c r="G164" s="14" t="str">
        <f aca="false">IF(E164="","",'Reference Tables'!$C$13)</f>
        <v/>
      </c>
      <c r="H164" s="12" t="str">
        <f aca="false">IF(E164="","",IF(E164&gt;=150,"Yes","No"))</f>
        <v/>
      </c>
      <c r="I164" s="13" t="str">
        <f aca="false">IF(E164="","",IF(H164="Yes",E164*G164,0))</f>
        <v/>
      </c>
      <c r="J164" s="13" t="str">
        <f aca="false">IF(E164="","",E164-I164)</f>
        <v/>
      </c>
      <c r="K164" s="6"/>
      <c r="L164" s="6"/>
    </row>
    <row r="165" customFormat="false" ht="15" hidden="false" customHeight="false" outlineLevel="0" collapsed="false">
      <c r="A165" s="11"/>
      <c r="B165" s="6"/>
      <c r="C165" s="12" t="str">
        <f aca="false">IF(B165="","",IFERROR(INDEX('Qualifier Registry'!$B$4:$B$103,MATCH(B165,'Qualifier Registry'!$A$4:$A$103,0)),"Not found"))</f>
        <v/>
      </c>
      <c r="D165" s="6"/>
      <c r="E165" s="13" t="str">
        <f aca="false">IF(D165="","",IFERROR(INDEX('Reference Tables'!$B$3:$B$8,MATCH(D165,'Reference Tables'!$A$3:$A$8,0)),"Invalid package"))</f>
        <v/>
      </c>
      <c r="F165" s="12" t="str">
        <f aca="false">IF(D165="","",IFERROR(INDEX('Reference Tables'!$C$3:$C$8,MATCH(D165,'Reference Tables'!$A$3:$A$8,0)),"Invalid package"))</f>
        <v/>
      </c>
      <c r="G165" s="14" t="str">
        <f aca="false">IF(E165="","",'Reference Tables'!$C$13)</f>
        <v/>
      </c>
      <c r="H165" s="12" t="str">
        <f aca="false">IF(E165="","",IF(E165&gt;=150,"Yes","No"))</f>
        <v/>
      </c>
      <c r="I165" s="13" t="str">
        <f aca="false">IF(E165="","",IF(H165="Yes",E165*G165,0))</f>
        <v/>
      </c>
      <c r="J165" s="13" t="str">
        <f aca="false">IF(E165="","",E165-I165)</f>
        <v/>
      </c>
      <c r="K165" s="6"/>
      <c r="L165" s="6"/>
    </row>
    <row r="166" customFormat="false" ht="15" hidden="false" customHeight="false" outlineLevel="0" collapsed="false">
      <c r="A166" s="11"/>
      <c r="B166" s="6"/>
      <c r="C166" s="12" t="str">
        <f aca="false">IF(B166="","",IFERROR(INDEX('Qualifier Registry'!$B$4:$B$103,MATCH(B166,'Qualifier Registry'!$A$4:$A$103,0)),"Not found"))</f>
        <v/>
      </c>
      <c r="D166" s="6"/>
      <c r="E166" s="13" t="str">
        <f aca="false">IF(D166="","",IFERROR(INDEX('Reference Tables'!$B$3:$B$8,MATCH(D166,'Reference Tables'!$A$3:$A$8,0)),"Invalid package"))</f>
        <v/>
      </c>
      <c r="F166" s="12" t="str">
        <f aca="false">IF(D166="","",IFERROR(INDEX('Reference Tables'!$C$3:$C$8,MATCH(D166,'Reference Tables'!$A$3:$A$8,0)),"Invalid package"))</f>
        <v/>
      </c>
      <c r="G166" s="14" t="str">
        <f aca="false">IF(E166="","",'Reference Tables'!$C$13)</f>
        <v/>
      </c>
      <c r="H166" s="12" t="str">
        <f aca="false">IF(E166="","",IF(E166&gt;=150,"Yes","No"))</f>
        <v/>
      </c>
      <c r="I166" s="13" t="str">
        <f aca="false">IF(E166="","",IF(H166="Yes",E166*G166,0))</f>
        <v/>
      </c>
      <c r="J166" s="13" t="str">
        <f aca="false">IF(E166="","",E166-I166)</f>
        <v/>
      </c>
      <c r="K166" s="6"/>
      <c r="L166" s="6"/>
    </row>
    <row r="167" customFormat="false" ht="15" hidden="false" customHeight="false" outlineLevel="0" collapsed="false">
      <c r="A167" s="11"/>
      <c r="B167" s="6"/>
      <c r="C167" s="12" t="str">
        <f aca="false">IF(B167="","",IFERROR(INDEX('Qualifier Registry'!$B$4:$B$103,MATCH(B167,'Qualifier Registry'!$A$4:$A$103,0)),"Not found"))</f>
        <v/>
      </c>
      <c r="D167" s="6"/>
      <c r="E167" s="13" t="str">
        <f aca="false">IF(D167="","",IFERROR(INDEX('Reference Tables'!$B$3:$B$8,MATCH(D167,'Reference Tables'!$A$3:$A$8,0)),"Invalid package"))</f>
        <v/>
      </c>
      <c r="F167" s="12" t="str">
        <f aca="false">IF(D167="","",IFERROR(INDEX('Reference Tables'!$C$3:$C$8,MATCH(D167,'Reference Tables'!$A$3:$A$8,0)),"Invalid package"))</f>
        <v/>
      </c>
      <c r="G167" s="14" t="str">
        <f aca="false">IF(E167="","",'Reference Tables'!$C$13)</f>
        <v/>
      </c>
      <c r="H167" s="12" t="str">
        <f aca="false">IF(E167="","",IF(E167&gt;=150,"Yes","No"))</f>
        <v/>
      </c>
      <c r="I167" s="13" t="str">
        <f aca="false">IF(E167="","",IF(H167="Yes",E167*G167,0))</f>
        <v/>
      </c>
      <c r="J167" s="13" t="str">
        <f aca="false">IF(E167="","",E167-I167)</f>
        <v/>
      </c>
      <c r="K167" s="6"/>
      <c r="L167" s="6"/>
    </row>
    <row r="168" customFormat="false" ht="15" hidden="false" customHeight="false" outlineLevel="0" collapsed="false">
      <c r="A168" s="11"/>
      <c r="B168" s="6"/>
      <c r="C168" s="12" t="str">
        <f aca="false">IF(B168="","",IFERROR(INDEX('Qualifier Registry'!$B$4:$B$103,MATCH(B168,'Qualifier Registry'!$A$4:$A$103,0)),"Not found"))</f>
        <v/>
      </c>
      <c r="D168" s="6"/>
      <c r="E168" s="13" t="str">
        <f aca="false">IF(D168="","",IFERROR(INDEX('Reference Tables'!$B$3:$B$8,MATCH(D168,'Reference Tables'!$A$3:$A$8,0)),"Invalid package"))</f>
        <v/>
      </c>
      <c r="F168" s="12" t="str">
        <f aca="false">IF(D168="","",IFERROR(INDEX('Reference Tables'!$C$3:$C$8,MATCH(D168,'Reference Tables'!$A$3:$A$8,0)),"Invalid package"))</f>
        <v/>
      </c>
      <c r="G168" s="14" t="str">
        <f aca="false">IF(E168="","",'Reference Tables'!$C$13)</f>
        <v/>
      </c>
      <c r="H168" s="12" t="str">
        <f aca="false">IF(E168="","",IF(E168&gt;=150,"Yes","No"))</f>
        <v/>
      </c>
      <c r="I168" s="13" t="str">
        <f aca="false">IF(E168="","",IF(H168="Yes",E168*G168,0))</f>
        <v/>
      </c>
      <c r="J168" s="13" t="str">
        <f aca="false">IF(E168="","",E168-I168)</f>
        <v/>
      </c>
      <c r="K168" s="6"/>
      <c r="L168" s="6"/>
    </row>
    <row r="169" customFormat="false" ht="15" hidden="false" customHeight="false" outlineLevel="0" collapsed="false">
      <c r="A169" s="11"/>
      <c r="B169" s="6"/>
      <c r="C169" s="12" t="str">
        <f aca="false">IF(B169="","",IFERROR(INDEX('Qualifier Registry'!$B$4:$B$103,MATCH(B169,'Qualifier Registry'!$A$4:$A$103,0)),"Not found"))</f>
        <v/>
      </c>
      <c r="D169" s="6"/>
      <c r="E169" s="13" t="str">
        <f aca="false">IF(D169="","",IFERROR(INDEX('Reference Tables'!$B$3:$B$8,MATCH(D169,'Reference Tables'!$A$3:$A$8,0)),"Invalid package"))</f>
        <v/>
      </c>
      <c r="F169" s="12" t="str">
        <f aca="false">IF(D169="","",IFERROR(INDEX('Reference Tables'!$C$3:$C$8,MATCH(D169,'Reference Tables'!$A$3:$A$8,0)),"Invalid package"))</f>
        <v/>
      </c>
      <c r="G169" s="14" t="str">
        <f aca="false">IF(E169="","",'Reference Tables'!$C$13)</f>
        <v/>
      </c>
      <c r="H169" s="12" t="str">
        <f aca="false">IF(E169="","",IF(E169&gt;=150,"Yes","No"))</f>
        <v/>
      </c>
      <c r="I169" s="13" t="str">
        <f aca="false">IF(E169="","",IF(H169="Yes",E169*G169,0))</f>
        <v/>
      </c>
      <c r="J169" s="13" t="str">
        <f aca="false">IF(E169="","",E169-I169)</f>
        <v/>
      </c>
      <c r="K169" s="6"/>
      <c r="L169" s="6"/>
    </row>
    <row r="170" customFormat="false" ht="15" hidden="false" customHeight="false" outlineLevel="0" collapsed="false">
      <c r="A170" s="11"/>
      <c r="B170" s="6"/>
      <c r="C170" s="12" t="str">
        <f aca="false">IF(B170="","",IFERROR(INDEX('Qualifier Registry'!$B$4:$B$103,MATCH(B170,'Qualifier Registry'!$A$4:$A$103,0)),"Not found"))</f>
        <v/>
      </c>
      <c r="D170" s="6"/>
      <c r="E170" s="13" t="str">
        <f aca="false">IF(D170="","",IFERROR(INDEX('Reference Tables'!$B$3:$B$8,MATCH(D170,'Reference Tables'!$A$3:$A$8,0)),"Invalid package"))</f>
        <v/>
      </c>
      <c r="F170" s="12" t="str">
        <f aca="false">IF(D170="","",IFERROR(INDEX('Reference Tables'!$C$3:$C$8,MATCH(D170,'Reference Tables'!$A$3:$A$8,0)),"Invalid package"))</f>
        <v/>
      </c>
      <c r="G170" s="14" t="str">
        <f aca="false">IF(E170="","",'Reference Tables'!$C$13)</f>
        <v/>
      </c>
      <c r="H170" s="12" t="str">
        <f aca="false">IF(E170="","",IF(E170&gt;=150,"Yes","No"))</f>
        <v/>
      </c>
      <c r="I170" s="13" t="str">
        <f aca="false">IF(E170="","",IF(H170="Yes",E170*G170,0))</f>
        <v/>
      </c>
      <c r="J170" s="13" t="str">
        <f aca="false">IF(E170="","",E170-I170)</f>
        <v/>
      </c>
      <c r="K170" s="6"/>
      <c r="L170" s="6"/>
    </row>
    <row r="171" customFormat="false" ht="15" hidden="false" customHeight="false" outlineLevel="0" collapsed="false">
      <c r="A171" s="11"/>
      <c r="B171" s="6"/>
      <c r="C171" s="12" t="str">
        <f aca="false">IF(B171="","",IFERROR(INDEX('Qualifier Registry'!$B$4:$B$103,MATCH(B171,'Qualifier Registry'!$A$4:$A$103,0)),"Not found"))</f>
        <v/>
      </c>
      <c r="D171" s="6"/>
      <c r="E171" s="13" t="str">
        <f aca="false">IF(D171="","",IFERROR(INDEX('Reference Tables'!$B$3:$B$8,MATCH(D171,'Reference Tables'!$A$3:$A$8,0)),"Invalid package"))</f>
        <v/>
      </c>
      <c r="F171" s="12" t="str">
        <f aca="false">IF(D171="","",IFERROR(INDEX('Reference Tables'!$C$3:$C$8,MATCH(D171,'Reference Tables'!$A$3:$A$8,0)),"Invalid package"))</f>
        <v/>
      </c>
      <c r="G171" s="14" t="str">
        <f aca="false">IF(E171="","",'Reference Tables'!$C$13)</f>
        <v/>
      </c>
      <c r="H171" s="12" t="str">
        <f aca="false">IF(E171="","",IF(E171&gt;=150,"Yes","No"))</f>
        <v/>
      </c>
      <c r="I171" s="13" t="str">
        <f aca="false">IF(E171="","",IF(H171="Yes",E171*G171,0))</f>
        <v/>
      </c>
      <c r="J171" s="13" t="str">
        <f aca="false">IF(E171="","",E171-I171)</f>
        <v/>
      </c>
      <c r="K171" s="6"/>
      <c r="L171" s="6"/>
    </row>
    <row r="172" customFormat="false" ht="15" hidden="false" customHeight="false" outlineLevel="0" collapsed="false">
      <c r="A172" s="11"/>
      <c r="B172" s="6"/>
      <c r="C172" s="12" t="str">
        <f aca="false">IF(B172="","",IFERROR(INDEX('Qualifier Registry'!$B$4:$B$103,MATCH(B172,'Qualifier Registry'!$A$4:$A$103,0)),"Not found"))</f>
        <v/>
      </c>
      <c r="D172" s="6"/>
      <c r="E172" s="13" t="str">
        <f aca="false">IF(D172="","",IFERROR(INDEX('Reference Tables'!$B$3:$B$8,MATCH(D172,'Reference Tables'!$A$3:$A$8,0)),"Invalid package"))</f>
        <v/>
      </c>
      <c r="F172" s="12" t="str">
        <f aca="false">IF(D172="","",IFERROR(INDEX('Reference Tables'!$C$3:$C$8,MATCH(D172,'Reference Tables'!$A$3:$A$8,0)),"Invalid package"))</f>
        <v/>
      </c>
      <c r="G172" s="14" t="str">
        <f aca="false">IF(E172="","",'Reference Tables'!$C$13)</f>
        <v/>
      </c>
      <c r="H172" s="12" t="str">
        <f aca="false">IF(E172="","",IF(E172&gt;=150,"Yes","No"))</f>
        <v/>
      </c>
      <c r="I172" s="13" t="str">
        <f aca="false">IF(E172="","",IF(H172="Yes",E172*G172,0))</f>
        <v/>
      </c>
      <c r="J172" s="13" t="str">
        <f aca="false">IF(E172="","",E172-I172)</f>
        <v/>
      </c>
      <c r="K172" s="6"/>
      <c r="L172" s="6"/>
    </row>
    <row r="173" customFormat="false" ht="15" hidden="false" customHeight="false" outlineLevel="0" collapsed="false">
      <c r="A173" s="11"/>
      <c r="B173" s="6"/>
      <c r="C173" s="12" t="str">
        <f aca="false">IF(B173="","",IFERROR(INDEX('Qualifier Registry'!$B$4:$B$103,MATCH(B173,'Qualifier Registry'!$A$4:$A$103,0)),"Not found"))</f>
        <v/>
      </c>
      <c r="D173" s="6"/>
      <c r="E173" s="13" t="str">
        <f aca="false">IF(D173="","",IFERROR(INDEX('Reference Tables'!$B$3:$B$8,MATCH(D173,'Reference Tables'!$A$3:$A$8,0)),"Invalid package"))</f>
        <v/>
      </c>
      <c r="F173" s="12" t="str">
        <f aca="false">IF(D173="","",IFERROR(INDEX('Reference Tables'!$C$3:$C$8,MATCH(D173,'Reference Tables'!$A$3:$A$8,0)),"Invalid package"))</f>
        <v/>
      </c>
      <c r="G173" s="14" t="str">
        <f aca="false">IF(E173="","",'Reference Tables'!$C$13)</f>
        <v/>
      </c>
      <c r="H173" s="12" t="str">
        <f aca="false">IF(E173="","",IF(E173&gt;=150,"Yes","No"))</f>
        <v/>
      </c>
      <c r="I173" s="13" t="str">
        <f aca="false">IF(E173="","",IF(H173="Yes",E173*G173,0))</f>
        <v/>
      </c>
      <c r="J173" s="13" t="str">
        <f aca="false">IF(E173="","",E173-I173)</f>
        <v/>
      </c>
      <c r="K173" s="6"/>
      <c r="L173" s="6"/>
    </row>
    <row r="174" customFormat="false" ht="15" hidden="false" customHeight="false" outlineLevel="0" collapsed="false">
      <c r="A174" s="11"/>
      <c r="B174" s="6"/>
      <c r="C174" s="12" t="str">
        <f aca="false">IF(B174="","",IFERROR(INDEX('Qualifier Registry'!$B$4:$B$103,MATCH(B174,'Qualifier Registry'!$A$4:$A$103,0)),"Not found"))</f>
        <v/>
      </c>
      <c r="D174" s="6"/>
      <c r="E174" s="13" t="str">
        <f aca="false">IF(D174="","",IFERROR(INDEX('Reference Tables'!$B$3:$B$8,MATCH(D174,'Reference Tables'!$A$3:$A$8,0)),"Invalid package"))</f>
        <v/>
      </c>
      <c r="F174" s="12" t="str">
        <f aca="false">IF(D174="","",IFERROR(INDEX('Reference Tables'!$C$3:$C$8,MATCH(D174,'Reference Tables'!$A$3:$A$8,0)),"Invalid package"))</f>
        <v/>
      </c>
      <c r="G174" s="14" t="str">
        <f aca="false">IF(E174="","",'Reference Tables'!$C$13)</f>
        <v/>
      </c>
      <c r="H174" s="12" t="str">
        <f aca="false">IF(E174="","",IF(E174&gt;=150,"Yes","No"))</f>
        <v/>
      </c>
      <c r="I174" s="13" t="str">
        <f aca="false">IF(E174="","",IF(H174="Yes",E174*G174,0))</f>
        <v/>
      </c>
      <c r="J174" s="13" t="str">
        <f aca="false">IF(E174="","",E174-I174)</f>
        <v/>
      </c>
      <c r="K174" s="6"/>
      <c r="L174" s="6"/>
    </row>
    <row r="175" customFormat="false" ht="15" hidden="false" customHeight="false" outlineLevel="0" collapsed="false">
      <c r="A175" s="11"/>
      <c r="B175" s="6"/>
      <c r="C175" s="12" t="str">
        <f aca="false">IF(B175="","",IFERROR(INDEX('Qualifier Registry'!$B$4:$B$103,MATCH(B175,'Qualifier Registry'!$A$4:$A$103,0)),"Not found"))</f>
        <v/>
      </c>
      <c r="D175" s="6"/>
      <c r="E175" s="13" t="str">
        <f aca="false">IF(D175="","",IFERROR(INDEX('Reference Tables'!$B$3:$B$8,MATCH(D175,'Reference Tables'!$A$3:$A$8,0)),"Invalid package"))</f>
        <v/>
      </c>
      <c r="F175" s="12" t="str">
        <f aca="false">IF(D175="","",IFERROR(INDEX('Reference Tables'!$C$3:$C$8,MATCH(D175,'Reference Tables'!$A$3:$A$8,0)),"Invalid package"))</f>
        <v/>
      </c>
      <c r="G175" s="14" t="str">
        <f aca="false">IF(E175="","",'Reference Tables'!$C$13)</f>
        <v/>
      </c>
      <c r="H175" s="12" t="str">
        <f aca="false">IF(E175="","",IF(E175&gt;=150,"Yes","No"))</f>
        <v/>
      </c>
      <c r="I175" s="13" t="str">
        <f aca="false">IF(E175="","",IF(H175="Yes",E175*G175,0))</f>
        <v/>
      </c>
      <c r="J175" s="13" t="str">
        <f aca="false">IF(E175="","",E175-I175)</f>
        <v/>
      </c>
      <c r="K175" s="6"/>
      <c r="L175" s="6"/>
    </row>
    <row r="176" customFormat="false" ht="15" hidden="false" customHeight="false" outlineLevel="0" collapsed="false">
      <c r="A176" s="11"/>
      <c r="B176" s="6"/>
      <c r="C176" s="12" t="str">
        <f aca="false">IF(B176="","",IFERROR(INDEX('Qualifier Registry'!$B$4:$B$103,MATCH(B176,'Qualifier Registry'!$A$4:$A$103,0)),"Not found"))</f>
        <v/>
      </c>
      <c r="D176" s="6"/>
      <c r="E176" s="13" t="str">
        <f aca="false">IF(D176="","",IFERROR(INDEX('Reference Tables'!$B$3:$B$8,MATCH(D176,'Reference Tables'!$A$3:$A$8,0)),"Invalid package"))</f>
        <v/>
      </c>
      <c r="F176" s="12" t="str">
        <f aca="false">IF(D176="","",IFERROR(INDEX('Reference Tables'!$C$3:$C$8,MATCH(D176,'Reference Tables'!$A$3:$A$8,0)),"Invalid package"))</f>
        <v/>
      </c>
      <c r="G176" s="14" t="str">
        <f aca="false">IF(E176="","",'Reference Tables'!$C$13)</f>
        <v/>
      </c>
      <c r="H176" s="12" t="str">
        <f aca="false">IF(E176="","",IF(E176&gt;=150,"Yes","No"))</f>
        <v/>
      </c>
      <c r="I176" s="13" t="str">
        <f aca="false">IF(E176="","",IF(H176="Yes",E176*G176,0))</f>
        <v/>
      </c>
      <c r="J176" s="13" t="str">
        <f aca="false">IF(E176="","",E176-I176)</f>
        <v/>
      </c>
      <c r="K176" s="6"/>
      <c r="L176" s="6"/>
    </row>
    <row r="177" customFormat="false" ht="15" hidden="false" customHeight="false" outlineLevel="0" collapsed="false">
      <c r="A177" s="11"/>
      <c r="B177" s="6"/>
      <c r="C177" s="12" t="str">
        <f aca="false">IF(B177="","",IFERROR(INDEX('Qualifier Registry'!$B$4:$B$103,MATCH(B177,'Qualifier Registry'!$A$4:$A$103,0)),"Not found"))</f>
        <v/>
      </c>
      <c r="D177" s="6"/>
      <c r="E177" s="13" t="str">
        <f aca="false">IF(D177="","",IFERROR(INDEX('Reference Tables'!$B$3:$B$8,MATCH(D177,'Reference Tables'!$A$3:$A$8,0)),"Invalid package"))</f>
        <v/>
      </c>
      <c r="F177" s="12" t="str">
        <f aca="false">IF(D177="","",IFERROR(INDEX('Reference Tables'!$C$3:$C$8,MATCH(D177,'Reference Tables'!$A$3:$A$8,0)),"Invalid package"))</f>
        <v/>
      </c>
      <c r="G177" s="14" t="str">
        <f aca="false">IF(E177="","",'Reference Tables'!$C$13)</f>
        <v/>
      </c>
      <c r="H177" s="12" t="str">
        <f aca="false">IF(E177="","",IF(E177&gt;=150,"Yes","No"))</f>
        <v/>
      </c>
      <c r="I177" s="13" t="str">
        <f aca="false">IF(E177="","",IF(H177="Yes",E177*G177,0))</f>
        <v/>
      </c>
      <c r="J177" s="13" t="str">
        <f aca="false">IF(E177="","",E177-I177)</f>
        <v/>
      </c>
      <c r="K177" s="6"/>
      <c r="L177" s="6"/>
    </row>
    <row r="178" customFormat="false" ht="15" hidden="false" customHeight="false" outlineLevel="0" collapsed="false">
      <c r="A178" s="11"/>
      <c r="B178" s="6"/>
      <c r="C178" s="12" t="str">
        <f aca="false">IF(B178="","",IFERROR(INDEX('Qualifier Registry'!$B$4:$B$103,MATCH(B178,'Qualifier Registry'!$A$4:$A$103,0)),"Not found"))</f>
        <v/>
      </c>
      <c r="D178" s="6"/>
      <c r="E178" s="13" t="str">
        <f aca="false">IF(D178="","",IFERROR(INDEX('Reference Tables'!$B$3:$B$8,MATCH(D178,'Reference Tables'!$A$3:$A$8,0)),"Invalid package"))</f>
        <v/>
      </c>
      <c r="F178" s="12" t="str">
        <f aca="false">IF(D178="","",IFERROR(INDEX('Reference Tables'!$C$3:$C$8,MATCH(D178,'Reference Tables'!$A$3:$A$8,0)),"Invalid package"))</f>
        <v/>
      </c>
      <c r="G178" s="14" t="str">
        <f aca="false">IF(E178="","",'Reference Tables'!$C$13)</f>
        <v/>
      </c>
      <c r="H178" s="12" t="str">
        <f aca="false">IF(E178="","",IF(E178&gt;=150,"Yes","No"))</f>
        <v/>
      </c>
      <c r="I178" s="13" t="str">
        <f aca="false">IF(E178="","",IF(H178="Yes",E178*G178,0))</f>
        <v/>
      </c>
      <c r="J178" s="13" t="str">
        <f aca="false">IF(E178="","",E178-I178)</f>
        <v/>
      </c>
      <c r="K178" s="6"/>
      <c r="L178" s="6"/>
    </row>
    <row r="179" customFormat="false" ht="15" hidden="false" customHeight="false" outlineLevel="0" collapsed="false">
      <c r="A179" s="11"/>
      <c r="B179" s="6"/>
      <c r="C179" s="12" t="str">
        <f aca="false">IF(B179="","",IFERROR(INDEX('Qualifier Registry'!$B$4:$B$103,MATCH(B179,'Qualifier Registry'!$A$4:$A$103,0)),"Not found"))</f>
        <v/>
      </c>
      <c r="D179" s="6"/>
      <c r="E179" s="13" t="str">
        <f aca="false">IF(D179="","",IFERROR(INDEX('Reference Tables'!$B$3:$B$8,MATCH(D179,'Reference Tables'!$A$3:$A$8,0)),"Invalid package"))</f>
        <v/>
      </c>
      <c r="F179" s="12" t="str">
        <f aca="false">IF(D179="","",IFERROR(INDEX('Reference Tables'!$C$3:$C$8,MATCH(D179,'Reference Tables'!$A$3:$A$8,0)),"Invalid package"))</f>
        <v/>
      </c>
      <c r="G179" s="14" t="str">
        <f aca="false">IF(E179="","",'Reference Tables'!$C$13)</f>
        <v/>
      </c>
      <c r="H179" s="12" t="str">
        <f aca="false">IF(E179="","",IF(E179&gt;=150,"Yes","No"))</f>
        <v/>
      </c>
      <c r="I179" s="13" t="str">
        <f aca="false">IF(E179="","",IF(H179="Yes",E179*G179,0))</f>
        <v/>
      </c>
      <c r="J179" s="13" t="str">
        <f aca="false">IF(E179="","",E179-I179)</f>
        <v/>
      </c>
      <c r="K179" s="6"/>
      <c r="L179" s="6"/>
    </row>
    <row r="180" customFormat="false" ht="15" hidden="false" customHeight="false" outlineLevel="0" collapsed="false">
      <c r="A180" s="11"/>
      <c r="B180" s="6"/>
      <c r="C180" s="12" t="str">
        <f aca="false">IF(B180="","",IFERROR(INDEX('Qualifier Registry'!$B$4:$B$103,MATCH(B180,'Qualifier Registry'!$A$4:$A$103,0)),"Not found"))</f>
        <v/>
      </c>
      <c r="D180" s="6"/>
      <c r="E180" s="13" t="str">
        <f aca="false">IF(D180="","",IFERROR(INDEX('Reference Tables'!$B$3:$B$8,MATCH(D180,'Reference Tables'!$A$3:$A$8,0)),"Invalid package"))</f>
        <v/>
      </c>
      <c r="F180" s="12" t="str">
        <f aca="false">IF(D180="","",IFERROR(INDEX('Reference Tables'!$C$3:$C$8,MATCH(D180,'Reference Tables'!$A$3:$A$8,0)),"Invalid package"))</f>
        <v/>
      </c>
      <c r="G180" s="14" t="str">
        <f aca="false">IF(E180="","",'Reference Tables'!$C$13)</f>
        <v/>
      </c>
      <c r="H180" s="12" t="str">
        <f aca="false">IF(E180="","",IF(E180&gt;=150,"Yes","No"))</f>
        <v/>
      </c>
      <c r="I180" s="13" t="str">
        <f aca="false">IF(E180="","",IF(H180="Yes",E180*G180,0))</f>
        <v/>
      </c>
      <c r="J180" s="13" t="str">
        <f aca="false">IF(E180="","",E180-I180)</f>
        <v/>
      </c>
      <c r="K180" s="6"/>
      <c r="L180" s="6"/>
    </row>
    <row r="181" customFormat="false" ht="15" hidden="false" customHeight="false" outlineLevel="0" collapsed="false">
      <c r="A181" s="11"/>
      <c r="B181" s="6"/>
      <c r="C181" s="12" t="str">
        <f aca="false">IF(B181="","",IFERROR(INDEX('Qualifier Registry'!$B$4:$B$103,MATCH(B181,'Qualifier Registry'!$A$4:$A$103,0)),"Not found"))</f>
        <v/>
      </c>
      <c r="D181" s="6"/>
      <c r="E181" s="13" t="str">
        <f aca="false">IF(D181="","",IFERROR(INDEX('Reference Tables'!$B$3:$B$8,MATCH(D181,'Reference Tables'!$A$3:$A$8,0)),"Invalid package"))</f>
        <v/>
      </c>
      <c r="F181" s="12" t="str">
        <f aca="false">IF(D181="","",IFERROR(INDEX('Reference Tables'!$C$3:$C$8,MATCH(D181,'Reference Tables'!$A$3:$A$8,0)),"Invalid package"))</f>
        <v/>
      </c>
      <c r="G181" s="14" t="str">
        <f aca="false">IF(E181="","",'Reference Tables'!$C$13)</f>
        <v/>
      </c>
      <c r="H181" s="12" t="str">
        <f aca="false">IF(E181="","",IF(E181&gt;=150,"Yes","No"))</f>
        <v/>
      </c>
      <c r="I181" s="13" t="str">
        <f aca="false">IF(E181="","",IF(H181="Yes",E181*G181,0))</f>
        <v/>
      </c>
      <c r="J181" s="13" t="str">
        <f aca="false">IF(E181="","",E181-I181)</f>
        <v/>
      </c>
      <c r="K181" s="6"/>
      <c r="L181" s="6"/>
    </row>
    <row r="182" customFormat="false" ht="15" hidden="false" customHeight="false" outlineLevel="0" collapsed="false">
      <c r="A182" s="11"/>
      <c r="B182" s="6"/>
      <c r="C182" s="12" t="str">
        <f aca="false">IF(B182="","",IFERROR(INDEX('Qualifier Registry'!$B$4:$B$103,MATCH(B182,'Qualifier Registry'!$A$4:$A$103,0)),"Not found"))</f>
        <v/>
      </c>
      <c r="D182" s="6"/>
      <c r="E182" s="13" t="str">
        <f aca="false">IF(D182="","",IFERROR(INDEX('Reference Tables'!$B$3:$B$8,MATCH(D182,'Reference Tables'!$A$3:$A$8,0)),"Invalid package"))</f>
        <v/>
      </c>
      <c r="F182" s="12" t="str">
        <f aca="false">IF(D182="","",IFERROR(INDEX('Reference Tables'!$C$3:$C$8,MATCH(D182,'Reference Tables'!$A$3:$A$8,0)),"Invalid package"))</f>
        <v/>
      </c>
      <c r="G182" s="14" t="str">
        <f aca="false">IF(E182="","",'Reference Tables'!$C$13)</f>
        <v/>
      </c>
      <c r="H182" s="12" t="str">
        <f aca="false">IF(E182="","",IF(E182&gt;=150,"Yes","No"))</f>
        <v/>
      </c>
      <c r="I182" s="13" t="str">
        <f aca="false">IF(E182="","",IF(H182="Yes",E182*G182,0))</f>
        <v/>
      </c>
      <c r="J182" s="13" t="str">
        <f aca="false">IF(E182="","",E182-I182)</f>
        <v/>
      </c>
      <c r="K182" s="6"/>
      <c r="L182" s="6"/>
    </row>
    <row r="183" customFormat="false" ht="15" hidden="false" customHeight="false" outlineLevel="0" collapsed="false">
      <c r="A183" s="11"/>
      <c r="B183" s="6"/>
      <c r="C183" s="12" t="str">
        <f aca="false">IF(B183="","",IFERROR(INDEX('Qualifier Registry'!$B$4:$B$103,MATCH(B183,'Qualifier Registry'!$A$4:$A$103,0)),"Not found"))</f>
        <v/>
      </c>
      <c r="D183" s="6"/>
      <c r="E183" s="13" t="str">
        <f aca="false">IF(D183="","",IFERROR(INDEX('Reference Tables'!$B$3:$B$8,MATCH(D183,'Reference Tables'!$A$3:$A$8,0)),"Invalid package"))</f>
        <v/>
      </c>
      <c r="F183" s="12" t="str">
        <f aca="false">IF(D183="","",IFERROR(INDEX('Reference Tables'!$C$3:$C$8,MATCH(D183,'Reference Tables'!$A$3:$A$8,0)),"Invalid package"))</f>
        <v/>
      </c>
      <c r="G183" s="14" t="str">
        <f aca="false">IF(E183="","",'Reference Tables'!$C$13)</f>
        <v/>
      </c>
      <c r="H183" s="12" t="str">
        <f aca="false">IF(E183="","",IF(E183&gt;=150,"Yes","No"))</f>
        <v/>
      </c>
      <c r="I183" s="13" t="str">
        <f aca="false">IF(E183="","",IF(H183="Yes",E183*G183,0))</f>
        <v/>
      </c>
      <c r="J183" s="13" t="str">
        <f aca="false">IF(E183="","",E183-I183)</f>
        <v/>
      </c>
      <c r="K183" s="6"/>
      <c r="L183" s="6"/>
    </row>
    <row r="184" customFormat="false" ht="15" hidden="false" customHeight="false" outlineLevel="0" collapsed="false">
      <c r="A184" s="11"/>
      <c r="B184" s="6"/>
      <c r="C184" s="12" t="str">
        <f aca="false">IF(B184="","",IFERROR(INDEX('Qualifier Registry'!$B$4:$B$103,MATCH(B184,'Qualifier Registry'!$A$4:$A$103,0)),"Not found"))</f>
        <v/>
      </c>
      <c r="D184" s="6"/>
      <c r="E184" s="13" t="str">
        <f aca="false">IF(D184="","",IFERROR(INDEX('Reference Tables'!$B$3:$B$8,MATCH(D184,'Reference Tables'!$A$3:$A$8,0)),"Invalid package"))</f>
        <v/>
      </c>
      <c r="F184" s="12" t="str">
        <f aca="false">IF(D184="","",IFERROR(INDEX('Reference Tables'!$C$3:$C$8,MATCH(D184,'Reference Tables'!$A$3:$A$8,0)),"Invalid package"))</f>
        <v/>
      </c>
      <c r="G184" s="14" t="str">
        <f aca="false">IF(E184="","",'Reference Tables'!$C$13)</f>
        <v/>
      </c>
      <c r="H184" s="12" t="str">
        <f aca="false">IF(E184="","",IF(E184&gt;=150,"Yes","No"))</f>
        <v/>
      </c>
      <c r="I184" s="13" t="str">
        <f aca="false">IF(E184="","",IF(H184="Yes",E184*G184,0))</f>
        <v/>
      </c>
      <c r="J184" s="13" t="str">
        <f aca="false">IF(E184="","",E184-I184)</f>
        <v/>
      </c>
      <c r="K184" s="6"/>
      <c r="L184" s="6"/>
    </row>
    <row r="185" customFormat="false" ht="15" hidden="false" customHeight="false" outlineLevel="0" collapsed="false">
      <c r="A185" s="11"/>
      <c r="B185" s="6"/>
      <c r="C185" s="12" t="str">
        <f aca="false">IF(B185="","",IFERROR(INDEX('Qualifier Registry'!$B$4:$B$103,MATCH(B185,'Qualifier Registry'!$A$4:$A$103,0)),"Not found"))</f>
        <v/>
      </c>
      <c r="D185" s="6"/>
      <c r="E185" s="13" t="str">
        <f aca="false">IF(D185="","",IFERROR(INDEX('Reference Tables'!$B$3:$B$8,MATCH(D185,'Reference Tables'!$A$3:$A$8,0)),"Invalid package"))</f>
        <v/>
      </c>
      <c r="F185" s="12" t="str">
        <f aca="false">IF(D185="","",IFERROR(INDEX('Reference Tables'!$C$3:$C$8,MATCH(D185,'Reference Tables'!$A$3:$A$8,0)),"Invalid package"))</f>
        <v/>
      </c>
      <c r="G185" s="14" t="str">
        <f aca="false">IF(E185="","",'Reference Tables'!$C$13)</f>
        <v/>
      </c>
      <c r="H185" s="12" t="str">
        <f aca="false">IF(E185="","",IF(E185&gt;=150,"Yes","No"))</f>
        <v/>
      </c>
      <c r="I185" s="13" t="str">
        <f aca="false">IF(E185="","",IF(H185="Yes",E185*G185,0))</f>
        <v/>
      </c>
      <c r="J185" s="13" t="str">
        <f aca="false">IF(E185="","",E185-I185)</f>
        <v/>
      </c>
      <c r="K185" s="6"/>
      <c r="L185" s="6"/>
    </row>
    <row r="186" customFormat="false" ht="15" hidden="false" customHeight="false" outlineLevel="0" collapsed="false">
      <c r="A186" s="11"/>
      <c r="B186" s="6"/>
      <c r="C186" s="12" t="str">
        <f aca="false">IF(B186="","",IFERROR(INDEX('Qualifier Registry'!$B$4:$B$103,MATCH(B186,'Qualifier Registry'!$A$4:$A$103,0)),"Not found"))</f>
        <v/>
      </c>
      <c r="D186" s="6"/>
      <c r="E186" s="13" t="str">
        <f aca="false">IF(D186="","",IFERROR(INDEX('Reference Tables'!$B$3:$B$8,MATCH(D186,'Reference Tables'!$A$3:$A$8,0)),"Invalid package"))</f>
        <v/>
      </c>
      <c r="F186" s="12" t="str">
        <f aca="false">IF(D186="","",IFERROR(INDEX('Reference Tables'!$C$3:$C$8,MATCH(D186,'Reference Tables'!$A$3:$A$8,0)),"Invalid package"))</f>
        <v/>
      </c>
      <c r="G186" s="14" t="str">
        <f aca="false">IF(E186="","",'Reference Tables'!$C$13)</f>
        <v/>
      </c>
      <c r="H186" s="12" t="str">
        <f aca="false">IF(E186="","",IF(E186&gt;=150,"Yes","No"))</f>
        <v/>
      </c>
      <c r="I186" s="13" t="str">
        <f aca="false">IF(E186="","",IF(H186="Yes",E186*G186,0))</f>
        <v/>
      </c>
      <c r="J186" s="13" t="str">
        <f aca="false">IF(E186="","",E186-I186)</f>
        <v/>
      </c>
      <c r="K186" s="6"/>
      <c r="L186" s="6"/>
    </row>
    <row r="187" customFormat="false" ht="15" hidden="false" customHeight="false" outlineLevel="0" collapsed="false">
      <c r="A187" s="11"/>
      <c r="B187" s="6"/>
      <c r="C187" s="12" t="str">
        <f aca="false">IF(B187="","",IFERROR(INDEX('Qualifier Registry'!$B$4:$B$103,MATCH(B187,'Qualifier Registry'!$A$4:$A$103,0)),"Not found"))</f>
        <v/>
      </c>
      <c r="D187" s="6"/>
      <c r="E187" s="13" t="str">
        <f aca="false">IF(D187="","",IFERROR(INDEX('Reference Tables'!$B$3:$B$8,MATCH(D187,'Reference Tables'!$A$3:$A$8,0)),"Invalid package"))</f>
        <v/>
      </c>
      <c r="F187" s="12" t="str">
        <f aca="false">IF(D187="","",IFERROR(INDEX('Reference Tables'!$C$3:$C$8,MATCH(D187,'Reference Tables'!$A$3:$A$8,0)),"Invalid package"))</f>
        <v/>
      </c>
      <c r="G187" s="14" t="str">
        <f aca="false">IF(E187="","",'Reference Tables'!$C$13)</f>
        <v/>
      </c>
      <c r="H187" s="12" t="str">
        <f aca="false">IF(E187="","",IF(E187&gt;=150,"Yes","No"))</f>
        <v/>
      </c>
      <c r="I187" s="13" t="str">
        <f aca="false">IF(E187="","",IF(H187="Yes",E187*G187,0))</f>
        <v/>
      </c>
      <c r="J187" s="13" t="str">
        <f aca="false">IF(E187="","",E187-I187)</f>
        <v/>
      </c>
      <c r="K187" s="6"/>
      <c r="L187" s="6"/>
    </row>
    <row r="188" customFormat="false" ht="15" hidden="false" customHeight="false" outlineLevel="0" collapsed="false">
      <c r="A188" s="11"/>
      <c r="B188" s="6"/>
      <c r="C188" s="12" t="str">
        <f aca="false">IF(B188="","",IFERROR(INDEX('Qualifier Registry'!$B$4:$B$103,MATCH(B188,'Qualifier Registry'!$A$4:$A$103,0)),"Not found"))</f>
        <v/>
      </c>
      <c r="D188" s="6"/>
      <c r="E188" s="13" t="str">
        <f aca="false">IF(D188="","",IFERROR(INDEX('Reference Tables'!$B$3:$B$8,MATCH(D188,'Reference Tables'!$A$3:$A$8,0)),"Invalid package"))</f>
        <v/>
      </c>
      <c r="F188" s="12" t="str">
        <f aca="false">IF(D188="","",IFERROR(INDEX('Reference Tables'!$C$3:$C$8,MATCH(D188,'Reference Tables'!$A$3:$A$8,0)),"Invalid package"))</f>
        <v/>
      </c>
      <c r="G188" s="14" t="str">
        <f aca="false">IF(E188="","",'Reference Tables'!$C$13)</f>
        <v/>
      </c>
      <c r="H188" s="12" t="str">
        <f aca="false">IF(E188="","",IF(E188&gt;=150,"Yes","No"))</f>
        <v/>
      </c>
      <c r="I188" s="13" t="str">
        <f aca="false">IF(E188="","",IF(H188="Yes",E188*G188,0))</f>
        <v/>
      </c>
      <c r="J188" s="13" t="str">
        <f aca="false">IF(E188="","",E188-I188)</f>
        <v/>
      </c>
      <c r="K188" s="6"/>
      <c r="L188" s="6"/>
    </row>
    <row r="189" customFormat="false" ht="15" hidden="false" customHeight="false" outlineLevel="0" collapsed="false">
      <c r="A189" s="11"/>
      <c r="B189" s="6"/>
      <c r="C189" s="12" t="str">
        <f aca="false">IF(B189="","",IFERROR(INDEX('Qualifier Registry'!$B$4:$B$103,MATCH(B189,'Qualifier Registry'!$A$4:$A$103,0)),"Not found"))</f>
        <v/>
      </c>
      <c r="D189" s="6"/>
      <c r="E189" s="13" t="str">
        <f aca="false">IF(D189="","",IFERROR(INDEX('Reference Tables'!$B$3:$B$8,MATCH(D189,'Reference Tables'!$A$3:$A$8,0)),"Invalid package"))</f>
        <v/>
      </c>
      <c r="F189" s="12" t="str">
        <f aca="false">IF(D189="","",IFERROR(INDEX('Reference Tables'!$C$3:$C$8,MATCH(D189,'Reference Tables'!$A$3:$A$8,0)),"Invalid package"))</f>
        <v/>
      </c>
      <c r="G189" s="14" t="str">
        <f aca="false">IF(E189="","",'Reference Tables'!$C$13)</f>
        <v/>
      </c>
      <c r="H189" s="12" t="str">
        <f aca="false">IF(E189="","",IF(E189&gt;=150,"Yes","No"))</f>
        <v/>
      </c>
      <c r="I189" s="13" t="str">
        <f aca="false">IF(E189="","",IF(H189="Yes",E189*G189,0))</f>
        <v/>
      </c>
      <c r="J189" s="13" t="str">
        <f aca="false">IF(E189="","",E189-I189)</f>
        <v/>
      </c>
      <c r="K189" s="6"/>
      <c r="L189" s="6"/>
    </row>
    <row r="190" customFormat="false" ht="15" hidden="false" customHeight="false" outlineLevel="0" collapsed="false">
      <c r="A190" s="11"/>
      <c r="B190" s="6"/>
      <c r="C190" s="12" t="str">
        <f aca="false">IF(B190="","",IFERROR(INDEX('Qualifier Registry'!$B$4:$B$103,MATCH(B190,'Qualifier Registry'!$A$4:$A$103,0)),"Not found"))</f>
        <v/>
      </c>
      <c r="D190" s="6"/>
      <c r="E190" s="13" t="str">
        <f aca="false">IF(D190="","",IFERROR(INDEX('Reference Tables'!$B$3:$B$8,MATCH(D190,'Reference Tables'!$A$3:$A$8,0)),"Invalid package"))</f>
        <v/>
      </c>
      <c r="F190" s="12" t="str">
        <f aca="false">IF(D190="","",IFERROR(INDEX('Reference Tables'!$C$3:$C$8,MATCH(D190,'Reference Tables'!$A$3:$A$8,0)),"Invalid package"))</f>
        <v/>
      </c>
      <c r="G190" s="14" t="str">
        <f aca="false">IF(E190="","",'Reference Tables'!$C$13)</f>
        <v/>
      </c>
      <c r="H190" s="12" t="str">
        <f aca="false">IF(E190="","",IF(E190&gt;=150,"Yes","No"))</f>
        <v/>
      </c>
      <c r="I190" s="13" t="str">
        <f aca="false">IF(E190="","",IF(H190="Yes",E190*G190,0))</f>
        <v/>
      </c>
      <c r="J190" s="13" t="str">
        <f aca="false">IF(E190="","",E190-I190)</f>
        <v/>
      </c>
      <c r="K190" s="6"/>
      <c r="L190" s="6"/>
    </row>
    <row r="191" customFormat="false" ht="15" hidden="false" customHeight="false" outlineLevel="0" collapsed="false">
      <c r="A191" s="11"/>
      <c r="B191" s="6"/>
      <c r="C191" s="12" t="str">
        <f aca="false">IF(B191="","",IFERROR(INDEX('Qualifier Registry'!$B$4:$B$103,MATCH(B191,'Qualifier Registry'!$A$4:$A$103,0)),"Not found"))</f>
        <v/>
      </c>
      <c r="D191" s="6"/>
      <c r="E191" s="13" t="str">
        <f aca="false">IF(D191="","",IFERROR(INDEX('Reference Tables'!$B$3:$B$8,MATCH(D191,'Reference Tables'!$A$3:$A$8,0)),"Invalid package"))</f>
        <v/>
      </c>
      <c r="F191" s="12" t="str">
        <f aca="false">IF(D191="","",IFERROR(INDEX('Reference Tables'!$C$3:$C$8,MATCH(D191,'Reference Tables'!$A$3:$A$8,0)),"Invalid package"))</f>
        <v/>
      </c>
      <c r="G191" s="14" t="str">
        <f aca="false">IF(E191="","",'Reference Tables'!$C$13)</f>
        <v/>
      </c>
      <c r="H191" s="12" t="str">
        <f aca="false">IF(E191="","",IF(E191&gt;=150,"Yes","No"))</f>
        <v/>
      </c>
      <c r="I191" s="13" t="str">
        <f aca="false">IF(E191="","",IF(H191="Yes",E191*G191,0))</f>
        <v/>
      </c>
      <c r="J191" s="13" t="str">
        <f aca="false">IF(E191="","",E191-I191)</f>
        <v/>
      </c>
      <c r="K191" s="6"/>
      <c r="L191" s="6"/>
    </row>
    <row r="192" customFormat="false" ht="15" hidden="false" customHeight="false" outlineLevel="0" collapsed="false">
      <c r="A192" s="11"/>
      <c r="B192" s="6"/>
      <c r="C192" s="12" t="str">
        <f aca="false">IF(B192="","",IFERROR(INDEX('Qualifier Registry'!$B$4:$B$103,MATCH(B192,'Qualifier Registry'!$A$4:$A$103,0)),"Not found"))</f>
        <v/>
      </c>
      <c r="D192" s="6"/>
      <c r="E192" s="13" t="str">
        <f aca="false">IF(D192="","",IFERROR(INDEX('Reference Tables'!$B$3:$B$8,MATCH(D192,'Reference Tables'!$A$3:$A$8,0)),"Invalid package"))</f>
        <v/>
      </c>
      <c r="F192" s="12" t="str">
        <f aca="false">IF(D192="","",IFERROR(INDEX('Reference Tables'!$C$3:$C$8,MATCH(D192,'Reference Tables'!$A$3:$A$8,0)),"Invalid package"))</f>
        <v/>
      </c>
      <c r="G192" s="14" t="str">
        <f aca="false">IF(E192="","",'Reference Tables'!$C$13)</f>
        <v/>
      </c>
      <c r="H192" s="12" t="str">
        <f aca="false">IF(E192="","",IF(E192&gt;=150,"Yes","No"))</f>
        <v/>
      </c>
      <c r="I192" s="13" t="str">
        <f aca="false">IF(E192="","",IF(H192="Yes",E192*G192,0))</f>
        <v/>
      </c>
      <c r="J192" s="13" t="str">
        <f aca="false">IF(E192="","",E192-I192)</f>
        <v/>
      </c>
      <c r="K192" s="6"/>
      <c r="L192" s="6"/>
    </row>
    <row r="193" customFormat="false" ht="15" hidden="false" customHeight="false" outlineLevel="0" collapsed="false">
      <c r="A193" s="11"/>
      <c r="B193" s="6"/>
      <c r="C193" s="12" t="str">
        <f aca="false">IF(B193="","",IFERROR(INDEX('Qualifier Registry'!$B$4:$B$103,MATCH(B193,'Qualifier Registry'!$A$4:$A$103,0)),"Not found"))</f>
        <v/>
      </c>
      <c r="D193" s="6"/>
      <c r="E193" s="13" t="str">
        <f aca="false">IF(D193="","",IFERROR(INDEX('Reference Tables'!$B$3:$B$8,MATCH(D193,'Reference Tables'!$A$3:$A$8,0)),"Invalid package"))</f>
        <v/>
      </c>
      <c r="F193" s="12" t="str">
        <f aca="false">IF(D193="","",IFERROR(INDEX('Reference Tables'!$C$3:$C$8,MATCH(D193,'Reference Tables'!$A$3:$A$8,0)),"Invalid package"))</f>
        <v/>
      </c>
      <c r="G193" s="14" t="str">
        <f aca="false">IF(E193="","",'Reference Tables'!$C$13)</f>
        <v/>
      </c>
      <c r="H193" s="12" t="str">
        <f aca="false">IF(E193="","",IF(E193&gt;=150,"Yes","No"))</f>
        <v/>
      </c>
      <c r="I193" s="13" t="str">
        <f aca="false">IF(E193="","",IF(H193="Yes",E193*G193,0))</f>
        <v/>
      </c>
      <c r="J193" s="13" t="str">
        <f aca="false">IF(E193="","",E193-I193)</f>
        <v/>
      </c>
      <c r="K193" s="6"/>
      <c r="L193" s="6"/>
    </row>
    <row r="194" customFormat="false" ht="15" hidden="false" customHeight="false" outlineLevel="0" collapsed="false">
      <c r="A194" s="11"/>
      <c r="B194" s="6"/>
      <c r="C194" s="12" t="str">
        <f aca="false">IF(B194="","",IFERROR(INDEX('Qualifier Registry'!$B$4:$B$103,MATCH(B194,'Qualifier Registry'!$A$4:$A$103,0)),"Not found"))</f>
        <v/>
      </c>
      <c r="D194" s="6"/>
      <c r="E194" s="13" t="str">
        <f aca="false">IF(D194="","",IFERROR(INDEX('Reference Tables'!$B$3:$B$8,MATCH(D194,'Reference Tables'!$A$3:$A$8,0)),"Invalid package"))</f>
        <v/>
      </c>
      <c r="F194" s="12" t="str">
        <f aca="false">IF(D194="","",IFERROR(INDEX('Reference Tables'!$C$3:$C$8,MATCH(D194,'Reference Tables'!$A$3:$A$8,0)),"Invalid package"))</f>
        <v/>
      </c>
      <c r="G194" s="14" t="str">
        <f aca="false">IF(E194="","",'Reference Tables'!$C$13)</f>
        <v/>
      </c>
      <c r="H194" s="12" t="str">
        <f aca="false">IF(E194="","",IF(E194&gt;=150,"Yes","No"))</f>
        <v/>
      </c>
      <c r="I194" s="13" t="str">
        <f aca="false">IF(E194="","",IF(H194="Yes",E194*G194,0))</f>
        <v/>
      </c>
      <c r="J194" s="13" t="str">
        <f aca="false">IF(E194="","",E194-I194)</f>
        <v/>
      </c>
      <c r="K194" s="6"/>
      <c r="L194" s="6"/>
    </row>
    <row r="195" customFormat="false" ht="15" hidden="false" customHeight="false" outlineLevel="0" collapsed="false">
      <c r="A195" s="11"/>
      <c r="B195" s="6"/>
      <c r="C195" s="12" t="str">
        <f aca="false">IF(B195="","",IFERROR(INDEX('Qualifier Registry'!$B$4:$B$103,MATCH(B195,'Qualifier Registry'!$A$4:$A$103,0)),"Not found"))</f>
        <v/>
      </c>
      <c r="D195" s="6"/>
      <c r="E195" s="13" t="str">
        <f aca="false">IF(D195="","",IFERROR(INDEX('Reference Tables'!$B$3:$B$8,MATCH(D195,'Reference Tables'!$A$3:$A$8,0)),"Invalid package"))</f>
        <v/>
      </c>
      <c r="F195" s="12" t="str">
        <f aca="false">IF(D195="","",IFERROR(INDEX('Reference Tables'!$C$3:$C$8,MATCH(D195,'Reference Tables'!$A$3:$A$8,0)),"Invalid package"))</f>
        <v/>
      </c>
      <c r="G195" s="14" t="str">
        <f aca="false">IF(E195="","",'Reference Tables'!$C$13)</f>
        <v/>
      </c>
      <c r="H195" s="12" t="str">
        <f aca="false">IF(E195="","",IF(E195&gt;=150,"Yes","No"))</f>
        <v/>
      </c>
      <c r="I195" s="13" t="str">
        <f aca="false">IF(E195="","",IF(H195="Yes",E195*G195,0))</f>
        <v/>
      </c>
      <c r="J195" s="13" t="str">
        <f aca="false">IF(E195="","",E195-I195)</f>
        <v/>
      </c>
      <c r="K195" s="6"/>
      <c r="L195" s="6"/>
    </row>
    <row r="196" customFormat="false" ht="15" hidden="false" customHeight="false" outlineLevel="0" collapsed="false">
      <c r="A196" s="11"/>
      <c r="B196" s="6"/>
      <c r="C196" s="12" t="str">
        <f aca="false">IF(B196="","",IFERROR(INDEX('Qualifier Registry'!$B$4:$B$103,MATCH(B196,'Qualifier Registry'!$A$4:$A$103,0)),"Not found"))</f>
        <v/>
      </c>
      <c r="D196" s="6"/>
      <c r="E196" s="13" t="str">
        <f aca="false">IF(D196="","",IFERROR(INDEX('Reference Tables'!$B$3:$B$8,MATCH(D196,'Reference Tables'!$A$3:$A$8,0)),"Invalid package"))</f>
        <v/>
      </c>
      <c r="F196" s="12" t="str">
        <f aca="false">IF(D196="","",IFERROR(INDEX('Reference Tables'!$C$3:$C$8,MATCH(D196,'Reference Tables'!$A$3:$A$8,0)),"Invalid package"))</f>
        <v/>
      </c>
      <c r="G196" s="14" t="str">
        <f aca="false">IF(E196="","",'Reference Tables'!$C$13)</f>
        <v/>
      </c>
      <c r="H196" s="12" t="str">
        <f aca="false">IF(E196="","",IF(E196&gt;=150,"Yes","No"))</f>
        <v/>
      </c>
      <c r="I196" s="13" t="str">
        <f aca="false">IF(E196="","",IF(H196="Yes",E196*G196,0))</f>
        <v/>
      </c>
      <c r="J196" s="13" t="str">
        <f aca="false">IF(E196="","",E196-I196)</f>
        <v/>
      </c>
      <c r="K196" s="6"/>
      <c r="L196" s="6"/>
    </row>
    <row r="197" customFormat="false" ht="15" hidden="false" customHeight="false" outlineLevel="0" collapsed="false">
      <c r="A197" s="11"/>
      <c r="B197" s="6"/>
      <c r="C197" s="12" t="str">
        <f aca="false">IF(B197="","",IFERROR(INDEX('Qualifier Registry'!$B$4:$B$103,MATCH(B197,'Qualifier Registry'!$A$4:$A$103,0)),"Not found"))</f>
        <v/>
      </c>
      <c r="D197" s="6"/>
      <c r="E197" s="13" t="str">
        <f aca="false">IF(D197="","",IFERROR(INDEX('Reference Tables'!$B$3:$B$8,MATCH(D197,'Reference Tables'!$A$3:$A$8,0)),"Invalid package"))</f>
        <v/>
      </c>
      <c r="F197" s="12" t="str">
        <f aca="false">IF(D197="","",IFERROR(INDEX('Reference Tables'!$C$3:$C$8,MATCH(D197,'Reference Tables'!$A$3:$A$8,0)),"Invalid package"))</f>
        <v/>
      </c>
      <c r="G197" s="14" t="str">
        <f aca="false">IF(E197="","",'Reference Tables'!$C$13)</f>
        <v/>
      </c>
      <c r="H197" s="12" t="str">
        <f aca="false">IF(E197="","",IF(E197&gt;=150,"Yes","No"))</f>
        <v/>
      </c>
      <c r="I197" s="13" t="str">
        <f aca="false">IF(E197="","",IF(H197="Yes",E197*G197,0))</f>
        <v/>
      </c>
      <c r="J197" s="13" t="str">
        <f aca="false">IF(E197="","",E197-I197)</f>
        <v/>
      </c>
      <c r="K197" s="6"/>
      <c r="L197" s="6"/>
    </row>
    <row r="198" customFormat="false" ht="15" hidden="false" customHeight="false" outlineLevel="0" collapsed="false">
      <c r="A198" s="11"/>
      <c r="B198" s="6"/>
      <c r="C198" s="12" t="str">
        <f aca="false">IF(B198="","",IFERROR(INDEX('Qualifier Registry'!$B$4:$B$103,MATCH(B198,'Qualifier Registry'!$A$4:$A$103,0)),"Not found"))</f>
        <v/>
      </c>
      <c r="D198" s="6"/>
      <c r="E198" s="13" t="str">
        <f aca="false">IF(D198="","",IFERROR(INDEX('Reference Tables'!$B$3:$B$8,MATCH(D198,'Reference Tables'!$A$3:$A$8,0)),"Invalid package"))</f>
        <v/>
      </c>
      <c r="F198" s="12" t="str">
        <f aca="false">IF(D198="","",IFERROR(INDEX('Reference Tables'!$C$3:$C$8,MATCH(D198,'Reference Tables'!$A$3:$A$8,0)),"Invalid package"))</f>
        <v/>
      </c>
      <c r="G198" s="14" t="str">
        <f aca="false">IF(E198="","",'Reference Tables'!$C$13)</f>
        <v/>
      </c>
      <c r="H198" s="12" t="str">
        <f aca="false">IF(E198="","",IF(E198&gt;=150,"Yes","No"))</f>
        <v/>
      </c>
      <c r="I198" s="13" t="str">
        <f aca="false">IF(E198="","",IF(H198="Yes",E198*G198,0))</f>
        <v/>
      </c>
      <c r="J198" s="13" t="str">
        <f aca="false">IF(E198="","",E198-I198)</f>
        <v/>
      </c>
      <c r="K198" s="6"/>
      <c r="L198" s="6"/>
    </row>
    <row r="199" customFormat="false" ht="15" hidden="false" customHeight="false" outlineLevel="0" collapsed="false">
      <c r="A199" s="11"/>
      <c r="B199" s="6"/>
      <c r="C199" s="12" t="str">
        <f aca="false">IF(B199="","",IFERROR(INDEX('Qualifier Registry'!$B$4:$B$103,MATCH(B199,'Qualifier Registry'!$A$4:$A$103,0)),"Not found"))</f>
        <v/>
      </c>
      <c r="D199" s="6"/>
      <c r="E199" s="13" t="str">
        <f aca="false">IF(D199="","",IFERROR(INDEX('Reference Tables'!$B$3:$B$8,MATCH(D199,'Reference Tables'!$A$3:$A$8,0)),"Invalid package"))</f>
        <v/>
      </c>
      <c r="F199" s="12" t="str">
        <f aca="false">IF(D199="","",IFERROR(INDEX('Reference Tables'!$C$3:$C$8,MATCH(D199,'Reference Tables'!$A$3:$A$8,0)),"Invalid package"))</f>
        <v/>
      </c>
      <c r="G199" s="14" t="str">
        <f aca="false">IF(E199="","",'Reference Tables'!$C$13)</f>
        <v/>
      </c>
      <c r="H199" s="12" t="str">
        <f aca="false">IF(E199="","",IF(E199&gt;=150,"Yes","No"))</f>
        <v/>
      </c>
      <c r="I199" s="13" t="str">
        <f aca="false">IF(E199="","",IF(H199="Yes",E199*G199,0))</f>
        <v/>
      </c>
      <c r="J199" s="13" t="str">
        <f aca="false">IF(E199="","",E199-I199)</f>
        <v/>
      </c>
      <c r="K199" s="6"/>
      <c r="L199" s="6"/>
    </row>
    <row r="200" customFormat="false" ht="15" hidden="false" customHeight="false" outlineLevel="0" collapsed="false">
      <c r="A200" s="11"/>
      <c r="B200" s="6"/>
      <c r="C200" s="12" t="str">
        <f aca="false">IF(B200="","",IFERROR(INDEX('Qualifier Registry'!$B$4:$B$103,MATCH(B200,'Qualifier Registry'!$A$4:$A$103,0)),"Not found"))</f>
        <v/>
      </c>
      <c r="D200" s="6"/>
      <c r="E200" s="13" t="str">
        <f aca="false">IF(D200="","",IFERROR(INDEX('Reference Tables'!$B$3:$B$8,MATCH(D200,'Reference Tables'!$A$3:$A$8,0)),"Invalid package"))</f>
        <v/>
      </c>
      <c r="F200" s="12" t="str">
        <f aca="false">IF(D200="","",IFERROR(INDEX('Reference Tables'!$C$3:$C$8,MATCH(D200,'Reference Tables'!$A$3:$A$8,0)),"Invalid package"))</f>
        <v/>
      </c>
      <c r="G200" s="14" t="str">
        <f aca="false">IF(E200="","",'Reference Tables'!$C$13)</f>
        <v/>
      </c>
      <c r="H200" s="12" t="str">
        <f aca="false">IF(E200="","",IF(E200&gt;=150,"Yes","No"))</f>
        <v/>
      </c>
      <c r="I200" s="13" t="str">
        <f aca="false">IF(E200="","",IF(H200="Yes",E200*G200,0))</f>
        <v/>
      </c>
      <c r="J200" s="13" t="str">
        <f aca="false">IF(E200="","",E200-I200)</f>
        <v/>
      </c>
      <c r="K200" s="6"/>
      <c r="L200" s="6"/>
    </row>
    <row r="201" customFormat="false" ht="15" hidden="false" customHeight="false" outlineLevel="0" collapsed="false">
      <c r="A201" s="11"/>
      <c r="B201" s="6"/>
      <c r="C201" s="12" t="str">
        <f aca="false">IF(B201="","",IFERROR(INDEX('Qualifier Registry'!$B$4:$B$103,MATCH(B201,'Qualifier Registry'!$A$4:$A$103,0)),"Not found"))</f>
        <v/>
      </c>
      <c r="D201" s="6"/>
      <c r="E201" s="13" t="str">
        <f aca="false">IF(D201="","",IFERROR(INDEX('Reference Tables'!$B$3:$B$8,MATCH(D201,'Reference Tables'!$A$3:$A$8,0)),"Invalid package"))</f>
        <v/>
      </c>
      <c r="F201" s="12" t="str">
        <f aca="false">IF(D201="","",IFERROR(INDEX('Reference Tables'!$C$3:$C$8,MATCH(D201,'Reference Tables'!$A$3:$A$8,0)),"Invalid package"))</f>
        <v/>
      </c>
      <c r="G201" s="14" t="str">
        <f aca="false">IF(E201="","",'Reference Tables'!$C$13)</f>
        <v/>
      </c>
      <c r="H201" s="12" t="str">
        <f aca="false">IF(E201="","",IF(E201&gt;=150,"Yes","No"))</f>
        <v/>
      </c>
      <c r="I201" s="13" t="str">
        <f aca="false">IF(E201="","",IF(H201="Yes",E201*G201,0))</f>
        <v/>
      </c>
      <c r="J201" s="13" t="str">
        <f aca="false">IF(E201="","",E201-I201)</f>
        <v/>
      </c>
      <c r="K201" s="6"/>
      <c r="L201" s="6"/>
    </row>
    <row r="202" customFormat="false" ht="15" hidden="false" customHeight="false" outlineLevel="0" collapsed="false">
      <c r="A202" s="11"/>
      <c r="B202" s="6"/>
      <c r="C202" s="12" t="str">
        <f aca="false">IF(B202="","",IFERROR(INDEX('Qualifier Registry'!$B$4:$B$103,MATCH(B202,'Qualifier Registry'!$A$4:$A$103,0)),"Not found"))</f>
        <v/>
      </c>
      <c r="D202" s="6"/>
      <c r="E202" s="13" t="str">
        <f aca="false">IF(D202="","",IFERROR(INDEX('Reference Tables'!$B$3:$B$8,MATCH(D202,'Reference Tables'!$A$3:$A$8,0)),"Invalid package"))</f>
        <v/>
      </c>
      <c r="F202" s="12" t="str">
        <f aca="false">IF(D202="","",IFERROR(INDEX('Reference Tables'!$C$3:$C$8,MATCH(D202,'Reference Tables'!$A$3:$A$8,0)),"Invalid package"))</f>
        <v/>
      </c>
      <c r="G202" s="14" t="str">
        <f aca="false">IF(E202="","",'Reference Tables'!$C$13)</f>
        <v/>
      </c>
      <c r="H202" s="12" t="str">
        <f aca="false">IF(E202="","",IF(E202&gt;=150,"Yes","No"))</f>
        <v/>
      </c>
      <c r="I202" s="13" t="str">
        <f aca="false">IF(E202="","",IF(H202="Yes",E202*G202,0))</f>
        <v/>
      </c>
      <c r="J202" s="13" t="str">
        <f aca="false">IF(E202="","",E202-I202)</f>
        <v/>
      </c>
      <c r="K202" s="6"/>
      <c r="L202" s="6"/>
    </row>
    <row r="203" customFormat="false" ht="15" hidden="false" customHeight="false" outlineLevel="0" collapsed="false">
      <c r="A203" s="11"/>
      <c r="B203" s="6"/>
      <c r="C203" s="12" t="str">
        <f aca="false">IF(B203="","",IFERROR(INDEX('Qualifier Registry'!$B$4:$B$103,MATCH(B203,'Qualifier Registry'!$A$4:$A$103,0)),"Not found"))</f>
        <v/>
      </c>
      <c r="D203" s="6"/>
      <c r="E203" s="13" t="str">
        <f aca="false">IF(D203="","",IFERROR(INDEX('Reference Tables'!$B$3:$B$8,MATCH(D203,'Reference Tables'!$A$3:$A$8,0)),"Invalid package"))</f>
        <v/>
      </c>
      <c r="F203" s="12" t="str">
        <f aca="false">IF(D203="","",IFERROR(INDEX('Reference Tables'!$C$3:$C$8,MATCH(D203,'Reference Tables'!$A$3:$A$8,0)),"Invalid package"))</f>
        <v/>
      </c>
      <c r="G203" s="14" t="str">
        <f aca="false">IF(E203="","",'Reference Tables'!$C$13)</f>
        <v/>
      </c>
      <c r="H203" s="12" t="str">
        <f aca="false">IF(E203="","",IF(E203&gt;=150,"Yes","No"))</f>
        <v/>
      </c>
      <c r="I203" s="13" t="str">
        <f aca="false">IF(E203="","",IF(H203="Yes",E203*G203,0))</f>
        <v/>
      </c>
      <c r="J203" s="13" t="str">
        <f aca="false">IF(E203="","",E203-I203)</f>
        <v/>
      </c>
      <c r="K203" s="6"/>
      <c r="L203" s="6"/>
    </row>
    <row r="204" customFormat="false" ht="15" hidden="false" customHeight="false" outlineLevel="0" collapsed="false">
      <c r="A204" s="11"/>
      <c r="B204" s="6"/>
      <c r="C204" s="12" t="str">
        <f aca="false">IF(B204="","",IFERROR(INDEX('Qualifier Registry'!$B$4:$B$103,MATCH(B204,'Qualifier Registry'!$A$4:$A$103,0)),"Not found"))</f>
        <v/>
      </c>
      <c r="D204" s="6"/>
      <c r="E204" s="13" t="str">
        <f aca="false">IF(D204="","",IFERROR(INDEX('Reference Tables'!$B$3:$B$8,MATCH(D204,'Reference Tables'!$A$3:$A$8,0)),"Invalid package"))</f>
        <v/>
      </c>
      <c r="F204" s="12" t="str">
        <f aca="false">IF(D204="","",IFERROR(INDEX('Reference Tables'!$C$3:$C$8,MATCH(D204,'Reference Tables'!$A$3:$A$8,0)),"Invalid package"))</f>
        <v/>
      </c>
      <c r="G204" s="14" t="str">
        <f aca="false">IF(E204="","",'Reference Tables'!$C$13)</f>
        <v/>
      </c>
      <c r="H204" s="12" t="str">
        <f aca="false">IF(E204="","",IF(E204&gt;=150,"Yes","No"))</f>
        <v/>
      </c>
      <c r="I204" s="13" t="str">
        <f aca="false">IF(E204="","",IF(H204="Yes",E204*G204,0))</f>
        <v/>
      </c>
      <c r="J204" s="13" t="str">
        <f aca="false">IF(E204="","",E204-I204)</f>
        <v/>
      </c>
      <c r="K204" s="6"/>
      <c r="L204" s="6"/>
    </row>
    <row r="205" customFormat="false" ht="15" hidden="false" customHeight="false" outlineLevel="0" collapsed="false">
      <c r="A205" s="11"/>
      <c r="B205" s="6"/>
      <c r="C205" s="12" t="str">
        <f aca="false">IF(B205="","",IFERROR(INDEX('Qualifier Registry'!$B$4:$B$103,MATCH(B205,'Qualifier Registry'!$A$4:$A$103,0)),"Not found"))</f>
        <v/>
      </c>
      <c r="D205" s="6"/>
      <c r="E205" s="13" t="str">
        <f aca="false">IF(D205="","",IFERROR(INDEX('Reference Tables'!$B$3:$B$8,MATCH(D205,'Reference Tables'!$A$3:$A$8,0)),"Invalid package"))</f>
        <v/>
      </c>
      <c r="F205" s="12" t="str">
        <f aca="false">IF(D205="","",IFERROR(INDEX('Reference Tables'!$C$3:$C$8,MATCH(D205,'Reference Tables'!$A$3:$A$8,0)),"Invalid package"))</f>
        <v/>
      </c>
      <c r="G205" s="14" t="str">
        <f aca="false">IF(E205="","",'Reference Tables'!$C$13)</f>
        <v/>
      </c>
      <c r="H205" s="12" t="str">
        <f aca="false">IF(E205="","",IF(E205&gt;=150,"Yes","No"))</f>
        <v/>
      </c>
      <c r="I205" s="13" t="str">
        <f aca="false">IF(E205="","",IF(H205="Yes",E205*G205,0))</f>
        <v/>
      </c>
      <c r="J205" s="13" t="str">
        <f aca="false">IF(E205="","",E205-I205)</f>
        <v/>
      </c>
      <c r="K205" s="6"/>
      <c r="L205" s="6"/>
    </row>
    <row r="206" customFormat="false" ht="15" hidden="false" customHeight="false" outlineLevel="0" collapsed="false">
      <c r="A206" s="11"/>
      <c r="B206" s="6"/>
      <c r="C206" s="12" t="str">
        <f aca="false">IF(B206="","",IFERROR(INDEX('Qualifier Registry'!$B$4:$B$103,MATCH(B206,'Qualifier Registry'!$A$4:$A$103,0)),"Not found"))</f>
        <v/>
      </c>
      <c r="D206" s="6"/>
      <c r="E206" s="13" t="str">
        <f aca="false">IF(D206="","",IFERROR(INDEX('Reference Tables'!$B$3:$B$8,MATCH(D206,'Reference Tables'!$A$3:$A$8,0)),"Invalid package"))</f>
        <v/>
      </c>
      <c r="F206" s="12" t="str">
        <f aca="false">IF(D206="","",IFERROR(INDEX('Reference Tables'!$C$3:$C$8,MATCH(D206,'Reference Tables'!$A$3:$A$8,0)),"Invalid package"))</f>
        <v/>
      </c>
      <c r="G206" s="14" t="str">
        <f aca="false">IF(E206="","",'Reference Tables'!$C$13)</f>
        <v/>
      </c>
      <c r="H206" s="12" t="str">
        <f aca="false">IF(E206="","",IF(E206&gt;=150,"Yes","No"))</f>
        <v/>
      </c>
      <c r="I206" s="13" t="str">
        <f aca="false">IF(E206="","",IF(H206="Yes",E206*G206,0))</f>
        <v/>
      </c>
      <c r="J206" s="13" t="str">
        <f aca="false">IF(E206="","",E206-I206)</f>
        <v/>
      </c>
      <c r="K206" s="6"/>
      <c r="L206" s="6"/>
    </row>
    <row r="207" customFormat="false" ht="15" hidden="false" customHeight="false" outlineLevel="0" collapsed="false">
      <c r="A207" s="11"/>
      <c r="B207" s="6"/>
      <c r="C207" s="12" t="str">
        <f aca="false">IF(B207="","",IFERROR(INDEX('Qualifier Registry'!$B$4:$B$103,MATCH(B207,'Qualifier Registry'!$A$4:$A$103,0)),"Not found"))</f>
        <v/>
      </c>
      <c r="D207" s="6"/>
      <c r="E207" s="13" t="str">
        <f aca="false">IF(D207="","",IFERROR(INDEX('Reference Tables'!$B$3:$B$8,MATCH(D207,'Reference Tables'!$A$3:$A$8,0)),"Invalid package"))</f>
        <v/>
      </c>
      <c r="F207" s="12" t="str">
        <f aca="false">IF(D207="","",IFERROR(INDEX('Reference Tables'!$C$3:$C$8,MATCH(D207,'Reference Tables'!$A$3:$A$8,0)),"Invalid package"))</f>
        <v/>
      </c>
      <c r="G207" s="14" t="str">
        <f aca="false">IF(E207="","",'Reference Tables'!$C$13)</f>
        <v/>
      </c>
      <c r="H207" s="12" t="str">
        <f aca="false">IF(E207="","",IF(E207&gt;=150,"Yes","No"))</f>
        <v/>
      </c>
      <c r="I207" s="13" t="str">
        <f aca="false">IF(E207="","",IF(H207="Yes",E207*G207,0))</f>
        <v/>
      </c>
      <c r="J207" s="13" t="str">
        <f aca="false">IF(E207="","",E207-I207)</f>
        <v/>
      </c>
      <c r="K207" s="6"/>
      <c r="L207" s="6"/>
    </row>
    <row r="208" customFormat="false" ht="15" hidden="false" customHeight="false" outlineLevel="0" collapsed="false">
      <c r="A208" s="11"/>
      <c r="B208" s="6"/>
      <c r="C208" s="12" t="str">
        <f aca="false">IF(B208="","",IFERROR(INDEX('Qualifier Registry'!$B$4:$B$103,MATCH(B208,'Qualifier Registry'!$A$4:$A$103,0)),"Not found"))</f>
        <v/>
      </c>
      <c r="D208" s="6"/>
      <c r="E208" s="13" t="str">
        <f aca="false">IF(D208="","",IFERROR(INDEX('Reference Tables'!$B$3:$B$8,MATCH(D208,'Reference Tables'!$A$3:$A$8,0)),"Invalid package"))</f>
        <v/>
      </c>
      <c r="F208" s="12" t="str">
        <f aca="false">IF(D208="","",IFERROR(INDEX('Reference Tables'!$C$3:$C$8,MATCH(D208,'Reference Tables'!$A$3:$A$8,0)),"Invalid package"))</f>
        <v/>
      </c>
      <c r="G208" s="14" t="str">
        <f aca="false">IF(E208="","",'Reference Tables'!$C$13)</f>
        <v/>
      </c>
      <c r="H208" s="12" t="str">
        <f aca="false">IF(E208="","",IF(E208&gt;=150,"Yes","No"))</f>
        <v/>
      </c>
      <c r="I208" s="13" t="str">
        <f aca="false">IF(E208="","",IF(H208="Yes",E208*G208,0))</f>
        <v/>
      </c>
      <c r="J208" s="13" t="str">
        <f aca="false">IF(E208="","",E208-I208)</f>
        <v/>
      </c>
      <c r="K208" s="6"/>
      <c r="L208" s="6"/>
    </row>
    <row r="209" customFormat="false" ht="15" hidden="false" customHeight="false" outlineLevel="0" collapsed="false">
      <c r="A209" s="11"/>
      <c r="B209" s="6"/>
      <c r="C209" s="12" t="str">
        <f aca="false">IF(B209="","",IFERROR(INDEX('Qualifier Registry'!$B$4:$B$103,MATCH(B209,'Qualifier Registry'!$A$4:$A$103,0)),"Not found"))</f>
        <v/>
      </c>
      <c r="D209" s="6"/>
      <c r="E209" s="13" t="str">
        <f aca="false">IF(D209="","",IFERROR(INDEX('Reference Tables'!$B$3:$B$8,MATCH(D209,'Reference Tables'!$A$3:$A$8,0)),"Invalid package"))</f>
        <v/>
      </c>
      <c r="F209" s="12" t="str">
        <f aca="false">IF(D209="","",IFERROR(INDEX('Reference Tables'!$C$3:$C$8,MATCH(D209,'Reference Tables'!$A$3:$A$8,0)),"Invalid package"))</f>
        <v/>
      </c>
      <c r="G209" s="14" t="str">
        <f aca="false">IF(E209="","",'Reference Tables'!$C$13)</f>
        <v/>
      </c>
      <c r="H209" s="12" t="str">
        <f aca="false">IF(E209="","",IF(E209&gt;=150,"Yes","No"))</f>
        <v/>
      </c>
      <c r="I209" s="13" t="str">
        <f aca="false">IF(E209="","",IF(H209="Yes",E209*G209,0))</f>
        <v/>
      </c>
      <c r="J209" s="13" t="str">
        <f aca="false">IF(E209="","",E209-I209)</f>
        <v/>
      </c>
      <c r="K209" s="6"/>
      <c r="L209" s="6"/>
    </row>
    <row r="210" customFormat="false" ht="15" hidden="false" customHeight="false" outlineLevel="0" collapsed="false">
      <c r="A210" s="11"/>
      <c r="B210" s="6"/>
      <c r="C210" s="12" t="str">
        <f aca="false">IF(B210="","",IFERROR(INDEX('Qualifier Registry'!$B$4:$B$103,MATCH(B210,'Qualifier Registry'!$A$4:$A$103,0)),"Not found"))</f>
        <v/>
      </c>
      <c r="D210" s="6"/>
      <c r="E210" s="13" t="str">
        <f aca="false">IF(D210="","",IFERROR(INDEX('Reference Tables'!$B$3:$B$8,MATCH(D210,'Reference Tables'!$A$3:$A$8,0)),"Invalid package"))</f>
        <v/>
      </c>
      <c r="F210" s="12" t="str">
        <f aca="false">IF(D210="","",IFERROR(INDEX('Reference Tables'!$C$3:$C$8,MATCH(D210,'Reference Tables'!$A$3:$A$8,0)),"Invalid package"))</f>
        <v/>
      </c>
      <c r="G210" s="14" t="str">
        <f aca="false">IF(E210="","",'Reference Tables'!$C$13)</f>
        <v/>
      </c>
      <c r="H210" s="12" t="str">
        <f aca="false">IF(E210="","",IF(E210&gt;=150,"Yes","No"))</f>
        <v/>
      </c>
      <c r="I210" s="13" t="str">
        <f aca="false">IF(E210="","",IF(H210="Yes",E210*G210,0))</f>
        <v/>
      </c>
      <c r="J210" s="13" t="str">
        <f aca="false">IF(E210="","",E210-I210)</f>
        <v/>
      </c>
      <c r="K210" s="6"/>
      <c r="L210" s="6"/>
    </row>
    <row r="211" customFormat="false" ht="15" hidden="false" customHeight="false" outlineLevel="0" collapsed="false">
      <c r="A211" s="11"/>
      <c r="B211" s="6"/>
      <c r="C211" s="12" t="str">
        <f aca="false">IF(B211="","",IFERROR(INDEX('Qualifier Registry'!$B$4:$B$103,MATCH(B211,'Qualifier Registry'!$A$4:$A$103,0)),"Not found"))</f>
        <v/>
      </c>
      <c r="D211" s="6"/>
      <c r="E211" s="13" t="str">
        <f aca="false">IF(D211="","",IFERROR(INDEX('Reference Tables'!$B$3:$B$8,MATCH(D211,'Reference Tables'!$A$3:$A$8,0)),"Invalid package"))</f>
        <v/>
      </c>
      <c r="F211" s="12" t="str">
        <f aca="false">IF(D211="","",IFERROR(INDEX('Reference Tables'!$C$3:$C$8,MATCH(D211,'Reference Tables'!$A$3:$A$8,0)),"Invalid package"))</f>
        <v/>
      </c>
      <c r="G211" s="14" t="str">
        <f aca="false">IF(E211="","",'Reference Tables'!$C$13)</f>
        <v/>
      </c>
      <c r="H211" s="12" t="str">
        <f aca="false">IF(E211="","",IF(E211&gt;=150,"Yes","No"))</f>
        <v/>
      </c>
      <c r="I211" s="13" t="str">
        <f aca="false">IF(E211="","",IF(H211="Yes",E211*G211,0))</f>
        <v/>
      </c>
      <c r="J211" s="13" t="str">
        <f aca="false">IF(E211="","",E211-I211)</f>
        <v/>
      </c>
      <c r="K211" s="6"/>
      <c r="L211" s="6"/>
    </row>
    <row r="212" customFormat="false" ht="15" hidden="false" customHeight="false" outlineLevel="0" collapsed="false">
      <c r="A212" s="11"/>
      <c r="B212" s="6"/>
      <c r="C212" s="12" t="str">
        <f aca="false">IF(B212="","",IFERROR(INDEX('Qualifier Registry'!$B$4:$B$103,MATCH(B212,'Qualifier Registry'!$A$4:$A$103,0)),"Not found"))</f>
        <v/>
      </c>
      <c r="D212" s="6"/>
      <c r="E212" s="13" t="str">
        <f aca="false">IF(D212="","",IFERROR(INDEX('Reference Tables'!$B$3:$B$8,MATCH(D212,'Reference Tables'!$A$3:$A$8,0)),"Invalid package"))</f>
        <v/>
      </c>
      <c r="F212" s="12" t="str">
        <f aca="false">IF(D212="","",IFERROR(INDEX('Reference Tables'!$C$3:$C$8,MATCH(D212,'Reference Tables'!$A$3:$A$8,0)),"Invalid package"))</f>
        <v/>
      </c>
      <c r="G212" s="14" t="str">
        <f aca="false">IF(E212="","",'Reference Tables'!$C$13)</f>
        <v/>
      </c>
      <c r="H212" s="12" t="str">
        <f aca="false">IF(E212="","",IF(E212&gt;=150,"Yes","No"))</f>
        <v/>
      </c>
      <c r="I212" s="13" t="str">
        <f aca="false">IF(E212="","",IF(H212="Yes",E212*G212,0))</f>
        <v/>
      </c>
      <c r="J212" s="13" t="str">
        <f aca="false">IF(E212="","",E212-I212)</f>
        <v/>
      </c>
      <c r="K212" s="6"/>
      <c r="L212" s="6"/>
    </row>
    <row r="213" customFormat="false" ht="15" hidden="false" customHeight="false" outlineLevel="0" collapsed="false">
      <c r="A213" s="11"/>
      <c r="B213" s="6"/>
      <c r="C213" s="12" t="str">
        <f aca="false">IF(B213="","",IFERROR(INDEX('Qualifier Registry'!$B$4:$B$103,MATCH(B213,'Qualifier Registry'!$A$4:$A$103,0)),"Not found"))</f>
        <v/>
      </c>
      <c r="D213" s="6"/>
      <c r="E213" s="13" t="str">
        <f aca="false">IF(D213="","",IFERROR(INDEX('Reference Tables'!$B$3:$B$8,MATCH(D213,'Reference Tables'!$A$3:$A$8,0)),"Invalid package"))</f>
        <v/>
      </c>
      <c r="F213" s="12" t="str">
        <f aca="false">IF(D213="","",IFERROR(INDEX('Reference Tables'!$C$3:$C$8,MATCH(D213,'Reference Tables'!$A$3:$A$8,0)),"Invalid package"))</f>
        <v/>
      </c>
      <c r="G213" s="14" t="str">
        <f aca="false">IF(E213="","",'Reference Tables'!$C$13)</f>
        <v/>
      </c>
      <c r="H213" s="12" t="str">
        <f aca="false">IF(E213="","",IF(E213&gt;=150,"Yes","No"))</f>
        <v/>
      </c>
      <c r="I213" s="13" t="str">
        <f aca="false">IF(E213="","",IF(H213="Yes",E213*G213,0))</f>
        <v/>
      </c>
      <c r="J213" s="13" t="str">
        <f aca="false">IF(E213="","",E213-I213)</f>
        <v/>
      </c>
      <c r="K213" s="6"/>
      <c r="L213" s="6"/>
    </row>
    <row r="214" customFormat="false" ht="15" hidden="false" customHeight="false" outlineLevel="0" collapsed="false">
      <c r="A214" s="11"/>
      <c r="B214" s="6"/>
      <c r="C214" s="12" t="str">
        <f aca="false">IF(B214="","",IFERROR(INDEX('Qualifier Registry'!$B$4:$B$103,MATCH(B214,'Qualifier Registry'!$A$4:$A$103,0)),"Not found"))</f>
        <v/>
      </c>
      <c r="D214" s="6"/>
      <c r="E214" s="13" t="str">
        <f aca="false">IF(D214="","",IFERROR(INDEX('Reference Tables'!$B$3:$B$8,MATCH(D214,'Reference Tables'!$A$3:$A$8,0)),"Invalid package"))</f>
        <v/>
      </c>
      <c r="F214" s="12" t="str">
        <f aca="false">IF(D214="","",IFERROR(INDEX('Reference Tables'!$C$3:$C$8,MATCH(D214,'Reference Tables'!$A$3:$A$8,0)),"Invalid package"))</f>
        <v/>
      </c>
      <c r="G214" s="14" t="str">
        <f aca="false">IF(E214="","",'Reference Tables'!$C$13)</f>
        <v/>
      </c>
      <c r="H214" s="12" t="str">
        <f aca="false">IF(E214="","",IF(E214&gt;=150,"Yes","No"))</f>
        <v/>
      </c>
      <c r="I214" s="13" t="str">
        <f aca="false">IF(E214="","",IF(H214="Yes",E214*G214,0))</f>
        <v/>
      </c>
      <c r="J214" s="13" t="str">
        <f aca="false">IF(E214="","",E214-I214)</f>
        <v/>
      </c>
      <c r="K214" s="6"/>
      <c r="L214" s="6"/>
    </row>
    <row r="215" customFormat="false" ht="15" hidden="false" customHeight="false" outlineLevel="0" collapsed="false">
      <c r="A215" s="11"/>
      <c r="B215" s="6"/>
      <c r="C215" s="12" t="str">
        <f aca="false">IF(B215="","",IFERROR(INDEX('Qualifier Registry'!$B$4:$B$103,MATCH(B215,'Qualifier Registry'!$A$4:$A$103,0)),"Not found"))</f>
        <v/>
      </c>
      <c r="D215" s="6"/>
      <c r="E215" s="13" t="str">
        <f aca="false">IF(D215="","",IFERROR(INDEX('Reference Tables'!$B$3:$B$8,MATCH(D215,'Reference Tables'!$A$3:$A$8,0)),"Invalid package"))</f>
        <v/>
      </c>
      <c r="F215" s="12" t="str">
        <f aca="false">IF(D215="","",IFERROR(INDEX('Reference Tables'!$C$3:$C$8,MATCH(D215,'Reference Tables'!$A$3:$A$8,0)),"Invalid package"))</f>
        <v/>
      </c>
      <c r="G215" s="14" t="str">
        <f aca="false">IF(E215="","",'Reference Tables'!$C$13)</f>
        <v/>
      </c>
      <c r="H215" s="12" t="str">
        <f aca="false">IF(E215="","",IF(E215&gt;=150,"Yes","No"))</f>
        <v/>
      </c>
      <c r="I215" s="13" t="str">
        <f aca="false">IF(E215="","",IF(H215="Yes",E215*G215,0))</f>
        <v/>
      </c>
      <c r="J215" s="13" t="str">
        <f aca="false">IF(E215="","",E215-I215)</f>
        <v/>
      </c>
      <c r="K215" s="6"/>
      <c r="L215" s="6"/>
    </row>
    <row r="216" customFormat="false" ht="15" hidden="false" customHeight="false" outlineLevel="0" collapsed="false">
      <c r="A216" s="11"/>
      <c r="B216" s="6"/>
      <c r="C216" s="12" t="str">
        <f aca="false">IF(B216="","",IFERROR(INDEX('Qualifier Registry'!$B$4:$B$103,MATCH(B216,'Qualifier Registry'!$A$4:$A$103,0)),"Not found"))</f>
        <v/>
      </c>
      <c r="D216" s="6"/>
      <c r="E216" s="13" t="str">
        <f aca="false">IF(D216="","",IFERROR(INDEX('Reference Tables'!$B$3:$B$8,MATCH(D216,'Reference Tables'!$A$3:$A$8,0)),"Invalid package"))</f>
        <v/>
      </c>
      <c r="F216" s="12" t="str">
        <f aca="false">IF(D216="","",IFERROR(INDEX('Reference Tables'!$C$3:$C$8,MATCH(D216,'Reference Tables'!$A$3:$A$8,0)),"Invalid package"))</f>
        <v/>
      </c>
      <c r="G216" s="14" t="str">
        <f aca="false">IF(E216="","",'Reference Tables'!$C$13)</f>
        <v/>
      </c>
      <c r="H216" s="12" t="str">
        <f aca="false">IF(E216="","",IF(E216&gt;=150,"Yes","No"))</f>
        <v/>
      </c>
      <c r="I216" s="13" t="str">
        <f aca="false">IF(E216="","",IF(H216="Yes",E216*G216,0))</f>
        <v/>
      </c>
      <c r="J216" s="13" t="str">
        <f aca="false">IF(E216="","",E216-I216)</f>
        <v/>
      </c>
      <c r="K216" s="6"/>
      <c r="L216" s="6"/>
    </row>
    <row r="217" customFormat="false" ht="15" hidden="false" customHeight="false" outlineLevel="0" collapsed="false">
      <c r="A217" s="11"/>
      <c r="B217" s="6"/>
      <c r="C217" s="12" t="str">
        <f aca="false">IF(B217="","",IFERROR(INDEX('Qualifier Registry'!$B$4:$B$103,MATCH(B217,'Qualifier Registry'!$A$4:$A$103,0)),"Not found"))</f>
        <v/>
      </c>
      <c r="D217" s="6"/>
      <c r="E217" s="13" t="str">
        <f aca="false">IF(D217="","",IFERROR(INDEX('Reference Tables'!$B$3:$B$8,MATCH(D217,'Reference Tables'!$A$3:$A$8,0)),"Invalid package"))</f>
        <v/>
      </c>
      <c r="F217" s="12" t="str">
        <f aca="false">IF(D217="","",IFERROR(INDEX('Reference Tables'!$C$3:$C$8,MATCH(D217,'Reference Tables'!$A$3:$A$8,0)),"Invalid package"))</f>
        <v/>
      </c>
      <c r="G217" s="14" t="str">
        <f aca="false">IF(E217="","",'Reference Tables'!$C$13)</f>
        <v/>
      </c>
      <c r="H217" s="12" t="str">
        <f aca="false">IF(E217="","",IF(E217&gt;=150,"Yes","No"))</f>
        <v/>
      </c>
      <c r="I217" s="13" t="str">
        <f aca="false">IF(E217="","",IF(H217="Yes",E217*G217,0))</f>
        <v/>
      </c>
      <c r="J217" s="13" t="str">
        <f aca="false">IF(E217="","",E217-I217)</f>
        <v/>
      </c>
      <c r="K217" s="6"/>
      <c r="L217" s="6"/>
    </row>
    <row r="218" customFormat="false" ht="15" hidden="false" customHeight="false" outlineLevel="0" collapsed="false">
      <c r="A218" s="11"/>
      <c r="B218" s="6"/>
      <c r="C218" s="12" t="str">
        <f aca="false">IF(B218="","",IFERROR(INDEX('Qualifier Registry'!$B$4:$B$103,MATCH(B218,'Qualifier Registry'!$A$4:$A$103,0)),"Not found"))</f>
        <v/>
      </c>
      <c r="D218" s="6"/>
      <c r="E218" s="13" t="str">
        <f aca="false">IF(D218="","",IFERROR(INDEX('Reference Tables'!$B$3:$B$8,MATCH(D218,'Reference Tables'!$A$3:$A$8,0)),"Invalid package"))</f>
        <v/>
      </c>
      <c r="F218" s="12" t="str">
        <f aca="false">IF(D218="","",IFERROR(INDEX('Reference Tables'!$C$3:$C$8,MATCH(D218,'Reference Tables'!$A$3:$A$8,0)),"Invalid package"))</f>
        <v/>
      </c>
      <c r="G218" s="14" t="str">
        <f aca="false">IF(E218="","",'Reference Tables'!$C$13)</f>
        <v/>
      </c>
      <c r="H218" s="12" t="str">
        <f aca="false">IF(E218="","",IF(E218&gt;=150,"Yes","No"))</f>
        <v/>
      </c>
      <c r="I218" s="13" t="str">
        <f aca="false">IF(E218="","",IF(H218="Yes",E218*G218,0))</f>
        <v/>
      </c>
      <c r="J218" s="13" t="str">
        <f aca="false">IF(E218="","",E218-I218)</f>
        <v/>
      </c>
      <c r="K218" s="6"/>
      <c r="L218" s="6"/>
    </row>
    <row r="219" customFormat="false" ht="15" hidden="false" customHeight="false" outlineLevel="0" collapsed="false">
      <c r="A219" s="11"/>
      <c r="B219" s="6"/>
      <c r="C219" s="12" t="str">
        <f aca="false">IF(B219="","",IFERROR(INDEX('Qualifier Registry'!$B$4:$B$103,MATCH(B219,'Qualifier Registry'!$A$4:$A$103,0)),"Not found"))</f>
        <v/>
      </c>
      <c r="D219" s="6"/>
      <c r="E219" s="13" t="str">
        <f aca="false">IF(D219="","",IFERROR(INDEX('Reference Tables'!$B$3:$B$8,MATCH(D219,'Reference Tables'!$A$3:$A$8,0)),"Invalid package"))</f>
        <v/>
      </c>
      <c r="F219" s="12" t="str">
        <f aca="false">IF(D219="","",IFERROR(INDEX('Reference Tables'!$C$3:$C$8,MATCH(D219,'Reference Tables'!$A$3:$A$8,0)),"Invalid package"))</f>
        <v/>
      </c>
      <c r="G219" s="14" t="str">
        <f aca="false">IF(E219="","",'Reference Tables'!$C$13)</f>
        <v/>
      </c>
      <c r="H219" s="12" t="str">
        <f aca="false">IF(E219="","",IF(E219&gt;=150,"Yes","No"))</f>
        <v/>
      </c>
      <c r="I219" s="13" t="str">
        <f aca="false">IF(E219="","",IF(H219="Yes",E219*G219,0))</f>
        <v/>
      </c>
      <c r="J219" s="13" t="str">
        <f aca="false">IF(E219="","",E219-I219)</f>
        <v/>
      </c>
      <c r="K219" s="6"/>
      <c r="L219" s="6"/>
    </row>
    <row r="220" customFormat="false" ht="15" hidden="false" customHeight="false" outlineLevel="0" collapsed="false">
      <c r="A220" s="11"/>
      <c r="B220" s="6"/>
      <c r="C220" s="12" t="str">
        <f aca="false">IF(B220="","",IFERROR(INDEX('Qualifier Registry'!$B$4:$B$103,MATCH(B220,'Qualifier Registry'!$A$4:$A$103,0)),"Not found"))</f>
        <v/>
      </c>
      <c r="D220" s="6"/>
      <c r="E220" s="13" t="str">
        <f aca="false">IF(D220="","",IFERROR(INDEX('Reference Tables'!$B$3:$B$8,MATCH(D220,'Reference Tables'!$A$3:$A$8,0)),"Invalid package"))</f>
        <v/>
      </c>
      <c r="F220" s="12" t="str">
        <f aca="false">IF(D220="","",IFERROR(INDEX('Reference Tables'!$C$3:$C$8,MATCH(D220,'Reference Tables'!$A$3:$A$8,0)),"Invalid package"))</f>
        <v/>
      </c>
      <c r="G220" s="14" t="str">
        <f aca="false">IF(E220="","",'Reference Tables'!$C$13)</f>
        <v/>
      </c>
      <c r="H220" s="12" t="str">
        <f aca="false">IF(E220="","",IF(E220&gt;=150,"Yes","No"))</f>
        <v/>
      </c>
      <c r="I220" s="13" t="str">
        <f aca="false">IF(E220="","",IF(H220="Yes",E220*G220,0))</f>
        <v/>
      </c>
      <c r="J220" s="13" t="str">
        <f aca="false">IF(E220="","",E220-I220)</f>
        <v/>
      </c>
      <c r="K220" s="6"/>
      <c r="L220" s="6"/>
    </row>
    <row r="221" customFormat="false" ht="15" hidden="false" customHeight="false" outlineLevel="0" collapsed="false">
      <c r="A221" s="11"/>
      <c r="B221" s="6"/>
      <c r="C221" s="12" t="str">
        <f aca="false">IF(B221="","",IFERROR(INDEX('Qualifier Registry'!$B$4:$B$103,MATCH(B221,'Qualifier Registry'!$A$4:$A$103,0)),"Not found"))</f>
        <v/>
      </c>
      <c r="D221" s="6"/>
      <c r="E221" s="13" t="str">
        <f aca="false">IF(D221="","",IFERROR(INDEX('Reference Tables'!$B$3:$B$8,MATCH(D221,'Reference Tables'!$A$3:$A$8,0)),"Invalid package"))</f>
        <v/>
      </c>
      <c r="F221" s="12" t="str">
        <f aca="false">IF(D221="","",IFERROR(INDEX('Reference Tables'!$C$3:$C$8,MATCH(D221,'Reference Tables'!$A$3:$A$8,0)),"Invalid package"))</f>
        <v/>
      </c>
      <c r="G221" s="14" t="str">
        <f aca="false">IF(E221="","",'Reference Tables'!$C$13)</f>
        <v/>
      </c>
      <c r="H221" s="12" t="str">
        <f aca="false">IF(E221="","",IF(E221&gt;=150,"Yes","No"))</f>
        <v/>
      </c>
      <c r="I221" s="13" t="str">
        <f aca="false">IF(E221="","",IF(H221="Yes",E221*G221,0))</f>
        <v/>
      </c>
      <c r="J221" s="13" t="str">
        <f aca="false">IF(E221="","",E221-I221)</f>
        <v/>
      </c>
      <c r="K221" s="6"/>
      <c r="L221" s="6"/>
    </row>
    <row r="222" customFormat="false" ht="15" hidden="false" customHeight="false" outlineLevel="0" collapsed="false">
      <c r="A222" s="11"/>
      <c r="B222" s="6"/>
      <c r="C222" s="12" t="str">
        <f aca="false">IF(B222="","",IFERROR(INDEX('Qualifier Registry'!$B$4:$B$103,MATCH(B222,'Qualifier Registry'!$A$4:$A$103,0)),"Not found"))</f>
        <v/>
      </c>
      <c r="D222" s="6"/>
      <c r="E222" s="13" t="str">
        <f aca="false">IF(D222="","",IFERROR(INDEX('Reference Tables'!$B$3:$B$8,MATCH(D222,'Reference Tables'!$A$3:$A$8,0)),"Invalid package"))</f>
        <v/>
      </c>
      <c r="F222" s="12" t="str">
        <f aca="false">IF(D222="","",IFERROR(INDEX('Reference Tables'!$C$3:$C$8,MATCH(D222,'Reference Tables'!$A$3:$A$8,0)),"Invalid package"))</f>
        <v/>
      </c>
      <c r="G222" s="14" t="str">
        <f aca="false">IF(E222="","",'Reference Tables'!$C$13)</f>
        <v/>
      </c>
      <c r="H222" s="12" t="str">
        <f aca="false">IF(E222="","",IF(E222&gt;=150,"Yes","No"))</f>
        <v/>
      </c>
      <c r="I222" s="13" t="str">
        <f aca="false">IF(E222="","",IF(H222="Yes",E222*G222,0))</f>
        <v/>
      </c>
      <c r="J222" s="13" t="str">
        <f aca="false">IF(E222="","",E222-I222)</f>
        <v/>
      </c>
      <c r="K222" s="6"/>
      <c r="L222" s="6"/>
    </row>
    <row r="223" customFormat="false" ht="15" hidden="false" customHeight="false" outlineLevel="0" collapsed="false">
      <c r="A223" s="11"/>
      <c r="B223" s="6"/>
      <c r="C223" s="12" t="str">
        <f aca="false">IF(B223="","",IFERROR(INDEX('Qualifier Registry'!$B$4:$B$103,MATCH(B223,'Qualifier Registry'!$A$4:$A$103,0)),"Not found"))</f>
        <v/>
      </c>
      <c r="D223" s="6"/>
      <c r="E223" s="13" t="str">
        <f aca="false">IF(D223="","",IFERROR(INDEX('Reference Tables'!$B$3:$B$8,MATCH(D223,'Reference Tables'!$A$3:$A$8,0)),"Invalid package"))</f>
        <v/>
      </c>
      <c r="F223" s="12" t="str">
        <f aca="false">IF(D223="","",IFERROR(INDEX('Reference Tables'!$C$3:$C$8,MATCH(D223,'Reference Tables'!$A$3:$A$8,0)),"Invalid package"))</f>
        <v/>
      </c>
      <c r="G223" s="14" t="str">
        <f aca="false">IF(E223="","",'Reference Tables'!$C$13)</f>
        <v/>
      </c>
      <c r="H223" s="12" t="str">
        <f aca="false">IF(E223="","",IF(E223&gt;=150,"Yes","No"))</f>
        <v/>
      </c>
      <c r="I223" s="13" t="str">
        <f aca="false">IF(E223="","",IF(H223="Yes",E223*G223,0))</f>
        <v/>
      </c>
      <c r="J223" s="13" t="str">
        <f aca="false">IF(E223="","",E223-I223)</f>
        <v/>
      </c>
      <c r="K223" s="6"/>
      <c r="L223" s="6"/>
    </row>
    <row r="224" customFormat="false" ht="15" hidden="false" customHeight="false" outlineLevel="0" collapsed="false">
      <c r="A224" s="11"/>
      <c r="B224" s="6"/>
      <c r="C224" s="12" t="str">
        <f aca="false">IF(B224="","",IFERROR(INDEX('Qualifier Registry'!$B$4:$B$103,MATCH(B224,'Qualifier Registry'!$A$4:$A$103,0)),"Not found"))</f>
        <v/>
      </c>
      <c r="D224" s="6"/>
      <c r="E224" s="13" t="str">
        <f aca="false">IF(D224="","",IFERROR(INDEX('Reference Tables'!$B$3:$B$8,MATCH(D224,'Reference Tables'!$A$3:$A$8,0)),"Invalid package"))</f>
        <v/>
      </c>
      <c r="F224" s="12" t="str">
        <f aca="false">IF(D224="","",IFERROR(INDEX('Reference Tables'!$C$3:$C$8,MATCH(D224,'Reference Tables'!$A$3:$A$8,0)),"Invalid package"))</f>
        <v/>
      </c>
      <c r="G224" s="14" t="str">
        <f aca="false">IF(E224="","",'Reference Tables'!$C$13)</f>
        <v/>
      </c>
      <c r="H224" s="12" t="str">
        <f aca="false">IF(E224="","",IF(E224&gt;=150,"Yes","No"))</f>
        <v/>
      </c>
      <c r="I224" s="13" t="str">
        <f aca="false">IF(E224="","",IF(H224="Yes",E224*G224,0))</f>
        <v/>
      </c>
      <c r="J224" s="13" t="str">
        <f aca="false">IF(E224="","",E224-I224)</f>
        <v/>
      </c>
      <c r="K224" s="6"/>
      <c r="L224" s="6"/>
    </row>
    <row r="225" customFormat="false" ht="15" hidden="false" customHeight="false" outlineLevel="0" collapsed="false">
      <c r="A225" s="11"/>
      <c r="B225" s="6"/>
      <c r="C225" s="12" t="str">
        <f aca="false">IF(B225="","",IFERROR(INDEX('Qualifier Registry'!$B$4:$B$103,MATCH(B225,'Qualifier Registry'!$A$4:$A$103,0)),"Not found"))</f>
        <v/>
      </c>
      <c r="D225" s="6"/>
      <c r="E225" s="13" t="str">
        <f aca="false">IF(D225="","",IFERROR(INDEX('Reference Tables'!$B$3:$B$8,MATCH(D225,'Reference Tables'!$A$3:$A$8,0)),"Invalid package"))</f>
        <v/>
      </c>
      <c r="F225" s="12" t="str">
        <f aca="false">IF(D225="","",IFERROR(INDEX('Reference Tables'!$C$3:$C$8,MATCH(D225,'Reference Tables'!$A$3:$A$8,0)),"Invalid package"))</f>
        <v/>
      </c>
      <c r="G225" s="14" t="str">
        <f aca="false">IF(E225="","",'Reference Tables'!$C$13)</f>
        <v/>
      </c>
      <c r="H225" s="12" t="str">
        <f aca="false">IF(E225="","",IF(E225&gt;=150,"Yes","No"))</f>
        <v/>
      </c>
      <c r="I225" s="13" t="str">
        <f aca="false">IF(E225="","",IF(H225="Yes",E225*G225,0))</f>
        <v/>
      </c>
      <c r="J225" s="13" t="str">
        <f aca="false">IF(E225="","",E225-I225)</f>
        <v/>
      </c>
      <c r="K225" s="6"/>
      <c r="L225" s="6"/>
    </row>
    <row r="226" customFormat="false" ht="15" hidden="false" customHeight="false" outlineLevel="0" collapsed="false">
      <c r="A226" s="11"/>
      <c r="B226" s="6"/>
      <c r="C226" s="12" t="str">
        <f aca="false">IF(B226="","",IFERROR(INDEX('Qualifier Registry'!$B$4:$B$103,MATCH(B226,'Qualifier Registry'!$A$4:$A$103,0)),"Not found"))</f>
        <v/>
      </c>
      <c r="D226" s="6"/>
      <c r="E226" s="13" t="str">
        <f aca="false">IF(D226="","",IFERROR(INDEX('Reference Tables'!$B$3:$B$8,MATCH(D226,'Reference Tables'!$A$3:$A$8,0)),"Invalid package"))</f>
        <v/>
      </c>
      <c r="F226" s="12" t="str">
        <f aca="false">IF(D226="","",IFERROR(INDEX('Reference Tables'!$C$3:$C$8,MATCH(D226,'Reference Tables'!$A$3:$A$8,0)),"Invalid package"))</f>
        <v/>
      </c>
      <c r="G226" s="14" t="str">
        <f aca="false">IF(E226="","",'Reference Tables'!$C$13)</f>
        <v/>
      </c>
      <c r="H226" s="12" t="str">
        <f aca="false">IF(E226="","",IF(E226&gt;=150,"Yes","No"))</f>
        <v/>
      </c>
      <c r="I226" s="13" t="str">
        <f aca="false">IF(E226="","",IF(H226="Yes",E226*G226,0))</f>
        <v/>
      </c>
      <c r="J226" s="13" t="str">
        <f aca="false">IF(E226="","",E226-I226)</f>
        <v/>
      </c>
      <c r="K226" s="6"/>
      <c r="L226" s="6"/>
    </row>
    <row r="227" customFormat="false" ht="15" hidden="false" customHeight="false" outlineLevel="0" collapsed="false">
      <c r="A227" s="11"/>
      <c r="B227" s="6"/>
      <c r="C227" s="12" t="str">
        <f aca="false">IF(B227="","",IFERROR(INDEX('Qualifier Registry'!$B$4:$B$103,MATCH(B227,'Qualifier Registry'!$A$4:$A$103,0)),"Not found"))</f>
        <v/>
      </c>
      <c r="D227" s="6"/>
      <c r="E227" s="13" t="str">
        <f aca="false">IF(D227="","",IFERROR(INDEX('Reference Tables'!$B$3:$B$8,MATCH(D227,'Reference Tables'!$A$3:$A$8,0)),"Invalid package"))</f>
        <v/>
      </c>
      <c r="F227" s="12" t="str">
        <f aca="false">IF(D227="","",IFERROR(INDEX('Reference Tables'!$C$3:$C$8,MATCH(D227,'Reference Tables'!$A$3:$A$8,0)),"Invalid package"))</f>
        <v/>
      </c>
      <c r="G227" s="14" t="str">
        <f aca="false">IF(E227="","",'Reference Tables'!$C$13)</f>
        <v/>
      </c>
      <c r="H227" s="12" t="str">
        <f aca="false">IF(E227="","",IF(E227&gt;=150,"Yes","No"))</f>
        <v/>
      </c>
      <c r="I227" s="13" t="str">
        <f aca="false">IF(E227="","",IF(H227="Yes",E227*G227,0))</f>
        <v/>
      </c>
      <c r="J227" s="13" t="str">
        <f aca="false">IF(E227="","",E227-I227)</f>
        <v/>
      </c>
      <c r="K227" s="6"/>
      <c r="L227" s="6"/>
    </row>
    <row r="228" customFormat="false" ht="15" hidden="false" customHeight="false" outlineLevel="0" collapsed="false">
      <c r="A228" s="11"/>
      <c r="B228" s="6"/>
      <c r="C228" s="12" t="str">
        <f aca="false">IF(B228="","",IFERROR(INDEX('Qualifier Registry'!$B$4:$B$103,MATCH(B228,'Qualifier Registry'!$A$4:$A$103,0)),"Not found"))</f>
        <v/>
      </c>
      <c r="D228" s="6"/>
      <c r="E228" s="13" t="str">
        <f aca="false">IF(D228="","",IFERROR(INDEX('Reference Tables'!$B$3:$B$8,MATCH(D228,'Reference Tables'!$A$3:$A$8,0)),"Invalid package"))</f>
        <v/>
      </c>
      <c r="F228" s="12" t="str">
        <f aca="false">IF(D228="","",IFERROR(INDEX('Reference Tables'!$C$3:$C$8,MATCH(D228,'Reference Tables'!$A$3:$A$8,0)),"Invalid package"))</f>
        <v/>
      </c>
      <c r="G228" s="14" t="str">
        <f aca="false">IF(E228="","",'Reference Tables'!$C$13)</f>
        <v/>
      </c>
      <c r="H228" s="12" t="str">
        <f aca="false">IF(E228="","",IF(E228&gt;=150,"Yes","No"))</f>
        <v/>
      </c>
      <c r="I228" s="13" t="str">
        <f aca="false">IF(E228="","",IF(H228="Yes",E228*G228,0))</f>
        <v/>
      </c>
      <c r="J228" s="13" t="str">
        <f aca="false">IF(E228="","",E228-I228)</f>
        <v/>
      </c>
      <c r="K228" s="6"/>
      <c r="L228" s="6"/>
    </row>
    <row r="229" customFormat="false" ht="15" hidden="false" customHeight="false" outlineLevel="0" collapsed="false">
      <c r="A229" s="11"/>
      <c r="B229" s="6"/>
      <c r="C229" s="12" t="str">
        <f aca="false">IF(B229="","",IFERROR(INDEX('Qualifier Registry'!$B$4:$B$103,MATCH(B229,'Qualifier Registry'!$A$4:$A$103,0)),"Not found"))</f>
        <v/>
      </c>
      <c r="D229" s="6"/>
      <c r="E229" s="13" t="str">
        <f aca="false">IF(D229="","",IFERROR(INDEX('Reference Tables'!$B$3:$B$8,MATCH(D229,'Reference Tables'!$A$3:$A$8,0)),"Invalid package"))</f>
        <v/>
      </c>
      <c r="F229" s="12" t="str">
        <f aca="false">IF(D229="","",IFERROR(INDEX('Reference Tables'!$C$3:$C$8,MATCH(D229,'Reference Tables'!$A$3:$A$8,0)),"Invalid package"))</f>
        <v/>
      </c>
      <c r="G229" s="14" t="str">
        <f aca="false">IF(E229="","",'Reference Tables'!$C$13)</f>
        <v/>
      </c>
      <c r="H229" s="12" t="str">
        <f aca="false">IF(E229="","",IF(E229&gt;=150,"Yes","No"))</f>
        <v/>
      </c>
      <c r="I229" s="13" t="str">
        <f aca="false">IF(E229="","",IF(H229="Yes",E229*G229,0))</f>
        <v/>
      </c>
      <c r="J229" s="13" t="str">
        <f aca="false">IF(E229="","",E229-I229)</f>
        <v/>
      </c>
      <c r="K229" s="6"/>
      <c r="L229" s="6"/>
    </row>
    <row r="230" customFormat="false" ht="15" hidden="false" customHeight="false" outlineLevel="0" collapsed="false">
      <c r="A230" s="11"/>
      <c r="B230" s="6"/>
      <c r="C230" s="12" t="str">
        <f aca="false">IF(B230="","",IFERROR(INDEX('Qualifier Registry'!$B$4:$B$103,MATCH(B230,'Qualifier Registry'!$A$4:$A$103,0)),"Not found"))</f>
        <v/>
      </c>
      <c r="D230" s="6"/>
      <c r="E230" s="13" t="str">
        <f aca="false">IF(D230="","",IFERROR(INDEX('Reference Tables'!$B$3:$B$8,MATCH(D230,'Reference Tables'!$A$3:$A$8,0)),"Invalid package"))</f>
        <v/>
      </c>
      <c r="F230" s="12" t="str">
        <f aca="false">IF(D230="","",IFERROR(INDEX('Reference Tables'!$C$3:$C$8,MATCH(D230,'Reference Tables'!$A$3:$A$8,0)),"Invalid package"))</f>
        <v/>
      </c>
      <c r="G230" s="14" t="str">
        <f aca="false">IF(E230="","",'Reference Tables'!$C$13)</f>
        <v/>
      </c>
      <c r="H230" s="12" t="str">
        <f aca="false">IF(E230="","",IF(E230&gt;=150,"Yes","No"))</f>
        <v/>
      </c>
      <c r="I230" s="13" t="str">
        <f aca="false">IF(E230="","",IF(H230="Yes",E230*G230,0))</f>
        <v/>
      </c>
      <c r="J230" s="13" t="str">
        <f aca="false">IF(E230="","",E230-I230)</f>
        <v/>
      </c>
      <c r="K230" s="6"/>
      <c r="L230" s="6"/>
    </row>
    <row r="231" customFormat="false" ht="15" hidden="false" customHeight="false" outlineLevel="0" collapsed="false">
      <c r="A231" s="11"/>
      <c r="B231" s="6"/>
      <c r="C231" s="12" t="str">
        <f aca="false">IF(B231="","",IFERROR(INDEX('Qualifier Registry'!$B$4:$B$103,MATCH(B231,'Qualifier Registry'!$A$4:$A$103,0)),"Not found"))</f>
        <v/>
      </c>
      <c r="D231" s="6"/>
      <c r="E231" s="13" t="str">
        <f aca="false">IF(D231="","",IFERROR(INDEX('Reference Tables'!$B$3:$B$8,MATCH(D231,'Reference Tables'!$A$3:$A$8,0)),"Invalid package"))</f>
        <v/>
      </c>
      <c r="F231" s="12" t="str">
        <f aca="false">IF(D231="","",IFERROR(INDEX('Reference Tables'!$C$3:$C$8,MATCH(D231,'Reference Tables'!$A$3:$A$8,0)),"Invalid package"))</f>
        <v/>
      </c>
      <c r="G231" s="14" t="str">
        <f aca="false">IF(E231="","",'Reference Tables'!$C$13)</f>
        <v/>
      </c>
      <c r="H231" s="12" t="str">
        <f aca="false">IF(E231="","",IF(E231&gt;=150,"Yes","No"))</f>
        <v/>
      </c>
      <c r="I231" s="13" t="str">
        <f aca="false">IF(E231="","",IF(H231="Yes",E231*G231,0))</f>
        <v/>
      </c>
      <c r="J231" s="13" t="str">
        <f aca="false">IF(E231="","",E231-I231)</f>
        <v/>
      </c>
      <c r="K231" s="6"/>
      <c r="L231" s="6"/>
    </row>
    <row r="232" customFormat="false" ht="15" hidden="false" customHeight="false" outlineLevel="0" collapsed="false">
      <c r="A232" s="11"/>
      <c r="B232" s="6"/>
      <c r="C232" s="12" t="str">
        <f aca="false">IF(B232="","",IFERROR(INDEX('Qualifier Registry'!$B$4:$B$103,MATCH(B232,'Qualifier Registry'!$A$4:$A$103,0)),"Not found"))</f>
        <v/>
      </c>
      <c r="D232" s="6"/>
      <c r="E232" s="13" t="str">
        <f aca="false">IF(D232="","",IFERROR(INDEX('Reference Tables'!$B$3:$B$8,MATCH(D232,'Reference Tables'!$A$3:$A$8,0)),"Invalid package"))</f>
        <v/>
      </c>
      <c r="F232" s="12" t="str">
        <f aca="false">IF(D232="","",IFERROR(INDEX('Reference Tables'!$C$3:$C$8,MATCH(D232,'Reference Tables'!$A$3:$A$8,0)),"Invalid package"))</f>
        <v/>
      </c>
      <c r="G232" s="14" t="str">
        <f aca="false">IF(E232="","",'Reference Tables'!$C$13)</f>
        <v/>
      </c>
      <c r="H232" s="12" t="str">
        <f aca="false">IF(E232="","",IF(E232&gt;=150,"Yes","No"))</f>
        <v/>
      </c>
      <c r="I232" s="13" t="str">
        <f aca="false">IF(E232="","",IF(H232="Yes",E232*G232,0))</f>
        <v/>
      </c>
      <c r="J232" s="13" t="str">
        <f aca="false">IF(E232="","",E232-I232)</f>
        <v/>
      </c>
      <c r="K232" s="6"/>
      <c r="L232" s="6"/>
    </row>
    <row r="233" customFormat="false" ht="15" hidden="false" customHeight="false" outlineLevel="0" collapsed="false">
      <c r="A233" s="11"/>
      <c r="B233" s="6"/>
      <c r="C233" s="12" t="str">
        <f aca="false">IF(B233="","",IFERROR(INDEX('Qualifier Registry'!$B$4:$B$103,MATCH(B233,'Qualifier Registry'!$A$4:$A$103,0)),"Not found"))</f>
        <v/>
      </c>
      <c r="D233" s="6"/>
      <c r="E233" s="13" t="str">
        <f aca="false">IF(D233="","",IFERROR(INDEX('Reference Tables'!$B$3:$B$8,MATCH(D233,'Reference Tables'!$A$3:$A$8,0)),"Invalid package"))</f>
        <v/>
      </c>
      <c r="F233" s="12" t="str">
        <f aca="false">IF(D233="","",IFERROR(INDEX('Reference Tables'!$C$3:$C$8,MATCH(D233,'Reference Tables'!$A$3:$A$8,0)),"Invalid package"))</f>
        <v/>
      </c>
      <c r="G233" s="14" t="str">
        <f aca="false">IF(E233="","",'Reference Tables'!$C$13)</f>
        <v/>
      </c>
      <c r="H233" s="12" t="str">
        <f aca="false">IF(E233="","",IF(E233&gt;=150,"Yes","No"))</f>
        <v/>
      </c>
      <c r="I233" s="13" t="str">
        <f aca="false">IF(E233="","",IF(H233="Yes",E233*G233,0))</f>
        <v/>
      </c>
      <c r="J233" s="13" t="str">
        <f aca="false">IF(E233="","",E233-I233)</f>
        <v/>
      </c>
      <c r="K233" s="6"/>
      <c r="L233" s="6"/>
    </row>
    <row r="234" customFormat="false" ht="15" hidden="false" customHeight="false" outlineLevel="0" collapsed="false">
      <c r="A234" s="11"/>
      <c r="B234" s="6"/>
      <c r="C234" s="12" t="str">
        <f aca="false">IF(B234="","",IFERROR(INDEX('Qualifier Registry'!$B$4:$B$103,MATCH(B234,'Qualifier Registry'!$A$4:$A$103,0)),"Not found"))</f>
        <v/>
      </c>
      <c r="D234" s="6"/>
      <c r="E234" s="13" t="str">
        <f aca="false">IF(D234="","",IFERROR(INDEX('Reference Tables'!$B$3:$B$8,MATCH(D234,'Reference Tables'!$A$3:$A$8,0)),"Invalid package"))</f>
        <v/>
      </c>
      <c r="F234" s="12" t="str">
        <f aca="false">IF(D234="","",IFERROR(INDEX('Reference Tables'!$C$3:$C$8,MATCH(D234,'Reference Tables'!$A$3:$A$8,0)),"Invalid package"))</f>
        <v/>
      </c>
      <c r="G234" s="14" t="str">
        <f aca="false">IF(E234="","",'Reference Tables'!$C$13)</f>
        <v/>
      </c>
      <c r="H234" s="12" t="str">
        <f aca="false">IF(E234="","",IF(E234&gt;=150,"Yes","No"))</f>
        <v/>
      </c>
      <c r="I234" s="13" t="str">
        <f aca="false">IF(E234="","",IF(H234="Yes",E234*G234,0))</f>
        <v/>
      </c>
      <c r="J234" s="13" t="str">
        <f aca="false">IF(E234="","",E234-I234)</f>
        <v/>
      </c>
      <c r="K234" s="6"/>
      <c r="L234" s="6"/>
    </row>
    <row r="235" customFormat="false" ht="15" hidden="false" customHeight="false" outlineLevel="0" collapsed="false">
      <c r="A235" s="11"/>
      <c r="B235" s="6"/>
      <c r="C235" s="12" t="str">
        <f aca="false">IF(B235="","",IFERROR(INDEX('Qualifier Registry'!$B$4:$B$103,MATCH(B235,'Qualifier Registry'!$A$4:$A$103,0)),"Not found"))</f>
        <v/>
      </c>
      <c r="D235" s="6"/>
      <c r="E235" s="13" t="str">
        <f aca="false">IF(D235="","",IFERROR(INDEX('Reference Tables'!$B$3:$B$8,MATCH(D235,'Reference Tables'!$A$3:$A$8,0)),"Invalid package"))</f>
        <v/>
      </c>
      <c r="F235" s="12" t="str">
        <f aca="false">IF(D235="","",IFERROR(INDEX('Reference Tables'!$C$3:$C$8,MATCH(D235,'Reference Tables'!$A$3:$A$8,0)),"Invalid package"))</f>
        <v/>
      </c>
      <c r="G235" s="14" t="str">
        <f aca="false">IF(E235="","",'Reference Tables'!$C$13)</f>
        <v/>
      </c>
      <c r="H235" s="12" t="str">
        <f aca="false">IF(E235="","",IF(E235&gt;=150,"Yes","No"))</f>
        <v/>
      </c>
      <c r="I235" s="13" t="str">
        <f aca="false">IF(E235="","",IF(H235="Yes",E235*G235,0))</f>
        <v/>
      </c>
      <c r="J235" s="13" t="str">
        <f aca="false">IF(E235="","",E235-I235)</f>
        <v/>
      </c>
      <c r="K235" s="6"/>
      <c r="L235" s="6"/>
    </row>
    <row r="236" customFormat="false" ht="15" hidden="false" customHeight="false" outlineLevel="0" collapsed="false">
      <c r="A236" s="11"/>
      <c r="B236" s="6"/>
      <c r="C236" s="12" t="str">
        <f aca="false">IF(B236="","",IFERROR(INDEX('Qualifier Registry'!$B$4:$B$103,MATCH(B236,'Qualifier Registry'!$A$4:$A$103,0)),"Not found"))</f>
        <v/>
      </c>
      <c r="D236" s="6"/>
      <c r="E236" s="13" t="str">
        <f aca="false">IF(D236="","",IFERROR(INDEX('Reference Tables'!$B$3:$B$8,MATCH(D236,'Reference Tables'!$A$3:$A$8,0)),"Invalid package"))</f>
        <v/>
      </c>
      <c r="F236" s="12" t="str">
        <f aca="false">IF(D236="","",IFERROR(INDEX('Reference Tables'!$C$3:$C$8,MATCH(D236,'Reference Tables'!$A$3:$A$8,0)),"Invalid package"))</f>
        <v/>
      </c>
      <c r="G236" s="14" t="str">
        <f aca="false">IF(E236="","",'Reference Tables'!$C$13)</f>
        <v/>
      </c>
      <c r="H236" s="12" t="str">
        <f aca="false">IF(E236="","",IF(E236&gt;=150,"Yes","No"))</f>
        <v/>
      </c>
      <c r="I236" s="13" t="str">
        <f aca="false">IF(E236="","",IF(H236="Yes",E236*G236,0))</f>
        <v/>
      </c>
      <c r="J236" s="13" t="str">
        <f aca="false">IF(E236="","",E236-I236)</f>
        <v/>
      </c>
      <c r="K236" s="6"/>
      <c r="L236" s="6"/>
    </row>
    <row r="237" customFormat="false" ht="15" hidden="false" customHeight="false" outlineLevel="0" collapsed="false">
      <c r="A237" s="11"/>
      <c r="B237" s="6"/>
      <c r="C237" s="12" t="str">
        <f aca="false">IF(B237="","",IFERROR(INDEX('Qualifier Registry'!$B$4:$B$103,MATCH(B237,'Qualifier Registry'!$A$4:$A$103,0)),"Not found"))</f>
        <v/>
      </c>
      <c r="D237" s="6"/>
      <c r="E237" s="13" t="str">
        <f aca="false">IF(D237="","",IFERROR(INDEX('Reference Tables'!$B$3:$B$8,MATCH(D237,'Reference Tables'!$A$3:$A$8,0)),"Invalid package"))</f>
        <v/>
      </c>
      <c r="F237" s="12" t="str">
        <f aca="false">IF(D237="","",IFERROR(INDEX('Reference Tables'!$C$3:$C$8,MATCH(D237,'Reference Tables'!$A$3:$A$8,0)),"Invalid package"))</f>
        <v/>
      </c>
      <c r="G237" s="14" t="str">
        <f aca="false">IF(E237="","",'Reference Tables'!$C$13)</f>
        <v/>
      </c>
      <c r="H237" s="12" t="str">
        <f aca="false">IF(E237="","",IF(E237&gt;=150,"Yes","No"))</f>
        <v/>
      </c>
      <c r="I237" s="13" t="str">
        <f aca="false">IF(E237="","",IF(H237="Yes",E237*G237,0))</f>
        <v/>
      </c>
      <c r="J237" s="13" t="str">
        <f aca="false">IF(E237="","",E237-I237)</f>
        <v/>
      </c>
      <c r="K237" s="6"/>
      <c r="L237" s="6"/>
    </row>
    <row r="238" customFormat="false" ht="15" hidden="false" customHeight="false" outlineLevel="0" collapsed="false">
      <c r="A238" s="11"/>
      <c r="B238" s="6"/>
      <c r="C238" s="12" t="str">
        <f aca="false">IF(B238="","",IFERROR(INDEX('Qualifier Registry'!$B$4:$B$103,MATCH(B238,'Qualifier Registry'!$A$4:$A$103,0)),"Not found"))</f>
        <v/>
      </c>
      <c r="D238" s="6"/>
      <c r="E238" s="13" t="str">
        <f aca="false">IF(D238="","",IFERROR(INDEX('Reference Tables'!$B$3:$B$8,MATCH(D238,'Reference Tables'!$A$3:$A$8,0)),"Invalid package"))</f>
        <v/>
      </c>
      <c r="F238" s="12" t="str">
        <f aca="false">IF(D238="","",IFERROR(INDEX('Reference Tables'!$C$3:$C$8,MATCH(D238,'Reference Tables'!$A$3:$A$8,0)),"Invalid package"))</f>
        <v/>
      </c>
      <c r="G238" s="14" t="str">
        <f aca="false">IF(E238="","",'Reference Tables'!$C$13)</f>
        <v/>
      </c>
      <c r="H238" s="12" t="str">
        <f aca="false">IF(E238="","",IF(E238&gt;=150,"Yes","No"))</f>
        <v/>
      </c>
      <c r="I238" s="13" t="str">
        <f aca="false">IF(E238="","",IF(H238="Yes",E238*G238,0))</f>
        <v/>
      </c>
      <c r="J238" s="13" t="str">
        <f aca="false">IF(E238="","",E238-I238)</f>
        <v/>
      </c>
      <c r="K238" s="6"/>
      <c r="L238" s="6"/>
    </row>
    <row r="239" customFormat="false" ht="15" hidden="false" customHeight="false" outlineLevel="0" collapsed="false">
      <c r="A239" s="11"/>
      <c r="B239" s="6"/>
      <c r="C239" s="12" t="str">
        <f aca="false">IF(B239="","",IFERROR(INDEX('Qualifier Registry'!$B$4:$B$103,MATCH(B239,'Qualifier Registry'!$A$4:$A$103,0)),"Not found"))</f>
        <v/>
      </c>
      <c r="D239" s="6"/>
      <c r="E239" s="13" t="str">
        <f aca="false">IF(D239="","",IFERROR(INDEX('Reference Tables'!$B$3:$B$8,MATCH(D239,'Reference Tables'!$A$3:$A$8,0)),"Invalid package"))</f>
        <v/>
      </c>
      <c r="F239" s="12" t="str">
        <f aca="false">IF(D239="","",IFERROR(INDEX('Reference Tables'!$C$3:$C$8,MATCH(D239,'Reference Tables'!$A$3:$A$8,0)),"Invalid package"))</f>
        <v/>
      </c>
      <c r="G239" s="14" t="str">
        <f aca="false">IF(E239="","",'Reference Tables'!$C$13)</f>
        <v/>
      </c>
      <c r="H239" s="12" t="str">
        <f aca="false">IF(E239="","",IF(E239&gt;=150,"Yes","No"))</f>
        <v/>
      </c>
      <c r="I239" s="13" t="str">
        <f aca="false">IF(E239="","",IF(H239="Yes",E239*G239,0))</f>
        <v/>
      </c>
      <c r="J239" s="13" t="str">
        <f aca="false">IF(E239="","",E239-I239)</f>
        <v/>
      </c>
      <c r="K239" s="6"/>
      <c r="L239" s="6"/>
    </row>
    <row r="240" customFormat="false" ht="15" hidden="false" customHeight="false" outlineLevel="0" collapsed="false">
      <c r="A240" s="11"/>
      <c r="B240" s="6"/>
      <c r="C240" s="12" t="str">
        <f aca="false">IF(B240="","",IFERROR(INDEX('Qualifier Registry'!$B$4:$B$103,MATCH(B240,'Qualifier Registry'!$A$4:$A$103,0)),"Not found"))</f>
        <v/>
      </c>
      <c r="D240" s="6"/>
      <c r="E240" s="13" t="str">
        <f aca="false">IF(D240="","",IFERROR(INDEX('Reference Tables'!$B$3:$B$8,MATCH(D240,'Reference Tables'!$A$3:$A$8,0)),"Invalid package"))</f>
        <v/>
      </c>
      <c r="F240" s="12" t="str">
        <f aca="false">IF(D240="","",IFERROR(INDEX('Reference Tables'!$C$3:$C$8,MATCH(D240,'Reference Tables'!$A$3:$A$8,0)),"Invalid package"))</f>
        <v/>
      </c>
      <c r="G240" s="14" t="str">
        <f aca="false">IF(E240="","",'Reference Tables'!$C$13)</f>
        <v/>
      </c>
      <c r="H240" s="12" t="str">
        <f aca="false">IF(E240="","",IF(E240&gt;=150,"Yes","No"))</f>
        <v/>
      </c>
      <c r="I240" s="13" t="str">
        <f aca="false">IF(E240="","",IF(H240="Yes",E240*G240,0))</f>
        <v/>
      </c>
      <c r="J240" s="13" t="str">
        <f aca="false">IF(E240="","",E240-I240)</f>
        <v/>
      </c>
      <c r="K240" s="6"/>
      <c r="L240" s="6"/>
    </row>
    <row r="241" customFormat="false" ht="15" hidden="false" customHeight="false" outlineLevel="0" collapsed="false">
      <c r="A241" s="11"/>
      <c r="B241" s="6"/>
      <c r="C241" s="12" t="str">
        <f aca="false">IF(B241="","",IFERROR(INDEX('Qualifier Registry'!$B$4:$B$103,MATCH(B241,'Qualifier Registry'!$A$4:$A$103,0)),"Not found"))</f>
        <v/>
      </c>
      <c r="D241" s="6"/>
      <c r="E241" s="13" t="str">
        <f aca="false">IF(D241="","",IFERROR(INDEX('Reference Tables'!$B$3:$B$8,MATCH(D241,'Reference Tables'!$A$3:$A$8,0)),"Invalid package"))</f>
        <v/>
      </c>
      <c r="F241" s="12" t="str">
        <f aca="false">IF(D241="","",IFERROR(INDEX('Reference Tables'!$C$3:$C$8,MATCH(D241,'Reference Tables'!$A$3:$A$8,0)),"Invalid package"))</f>
        <v/>
      </c>
      <c r="G241" s="14" t="str">
        <f aca="false">IF(E241="","",'Reference Tables'!$C$13)</f>
        <v/>
      </c>
      <c r="H241" s="12" t="str">
        <f aca="false">IF(E241="","",IF(E241&gt;=150,"Yes","No"))</f>
        <v/>
      </c>
      <c r="I241" s="13" t="str">
        <f aca="false">IF(E241="","",IF(H241="Yes",E241*G241,0))</f>
        <v/>
      </c>
      <c r="J241" s="13" t="str">
        <f aca="false">IF(E241="","",E241-I241)</f>
        <v/>
      </c>
      <c r="K241" s="6"/>
      <c r="L241" s="6"/>
    </row>
    <row r="242" customFormat="false" ht="15" hidden="false" customHeight="false" outlineLevel="0" collapsed="false">
      <c r="A242" s="11"/>
      <c r="B242" s="6"/>
      <c r="C242" s="12" t="str">
        <f aca="false">IF(B242="","",IFERROR(INDEX('Qualifier Registry'!$B$4:$B$103,MATCH(B242,'Qualifier Registry'!$A$4:$A$103,0)),"Not found"))</f>
        <v/>
      </c>
      <c r="D242" s="6"/>
      <c r="E242" s="13" t="str">
        <f aca="false">IF(D242="","",IFERROR(INDEX('Reference Tables'!$B$3:$B$8,MATCH(D242,'Reference Tables'!$A$3:$A$8,0)),"Invalid package"))</f>
        <v/>
      </c>
      <c r="F242" s="12" t="str">
        <f aca="false">IF(D242="","",IFERROR(INDEX('Reference Tables'!$C$3:$C$8,MATCH(D242,'Reference Tables'!$A$3:$A$8,0)),"Invalid package"))</f>
        <v/>
      </c>
      <c r="G242" s="14" t="str">
        <f aca="false">IF(E242="","",'Reference Tables'!$C$13)</f>
        <v/>
      </c>
      <c r="H242" s="12" t="str">
        <f aca="false">IF(E242="","",IF(E242&gt;=150,"Yes","No"))</f>
        <v/>
      </c>
      <c r="I242" s="13" t="str">
        <f aca="false">IF(E242="","",IF(H242="Yes",E242*G242,0))</f>
        <v/>
      </c>
      <c r="J242" s="13" t="str">
        <f aca="false">IF(E242="","",E242-I242)</f>
        <v/>
      </c>
      <c r="K242" s="6"/>
      <c r="L242" s="6"/>
    </row>
    <row r="243" customFormat="false" ht="15" hidden="false" customHeight="false" outlineLevel="0" collapsed="false">
      <c r="A243" s="11"/>
      <c r="B243" s="6"/>
      <c r="C243" s="12" t="str">
        <f aca="false">IF(B243="","",IFERROR(INDEX('Qualifier Registry'!$B$4:$B$103,MATCH(B243,'Qualifier Registry'!$A$4:$A$103,0)),"Not found"))</f>
        <v/>
      </c>
      <c r="D243" s="6"/>
      <c r="E243" s="13" t="str">
        <f aca="false">IF(D243="","",IFERROR(INDEX('Reference Tables'!$B$3:$B$8,MATCH(D243,'Reference Tables'!$A$3:$A$8,0)),"Invalid package"))</f>
        <v/>
      </c>
      <c r="F243" s="12" t="str">
        <f aca="false">IF(D243="","",IFERROR(INDEX('Reference Tables'!$C$3:$C$8,MATCH(D243,'Reference Tables'!$A$3:$A$8,0)),"Invalid package"))</f>
        <v/>
      </c>
      <c r="G243" s="14" t="str">
        <f aca="false">IF(E243="","",'Reference Tables'!$C$13)</f>
        <v/>
      </c>
      <c r="H243" s="12" t="str">
        <f aca="false">IF(E243="","",IF(E243&gt;=150,"Yes","No"))</f>
        <v/>
      </c>
      <c r="I243" s="13" t="str">
        <f aca="false">IF(E243="","",IF(H243="Yes",E243*G243,0))</f>
        <v/>
      </c>
      <c r="J243" s="13" t="str">
        <f aca="false">IF(E243="","",E243-I243)</f>
        <v/>
      </c>
      <c r="K243" s="6"/>
      <c r="L243" s="6"/>
    </row>
    <row r="244" customFormat="false" ht="15" hidden="false" customHeight="false" outlineLevel="0" collapsed="false">
      <c r="A244" s="11"/>
      <c r="B244" s="6"/>
      <c r="C244" s="12" t="str">
        <f aca="false">IF(B244="","",IFERROR(INDEX('Qualifier Registry'!$B$4:$B$103,MATCH(B244,'Qualifier Registry'!$A$4:$A$103,0)),"Not found"))</f>
        <v/>
      </c>
      <c r="D244" s="6"/>
      <c r="E244" s="13" t="str">
        <f aca="false">IF(D244="","",IFERROR(INDEX('Reference Tables'!$B$3:$B$8,MATCH(D244,'Reference Tables'!$A$3:$A$8,0)),"Invalid package"))</f>
        <v/>
      </c>
      <c r="F244" s="12" t="str">
        <f aca="false">IF(D244="","",IFERROR(INDEX('Reference Tables'!$C$3:$C$8,MATCH(D244,'Reference Tables'!$A$3:$A$8,0)),"Invalid package"))</f>
        <v/>
      </c>
      <c r="G244" s="14" t="str">
        <f aca="false">IF(E244="","",'Reference Tables'!$C$13)</f>
        <v/>
      </c>
      <c r="H244" s="12" t="str">
        <f aca="false">IF(E244="","",IF(E244&gt;=150,"Yes","No"))</f>
        <v/>
      </c>
      <c r="I244" s="13" t="str">
        <f aca="false">IF(E244="","",IF(H244="Yes",E244*G244,0))</f>
        <v/>
      </c>
      <c r="J244" s="13" t="str">
        <f aca="false">IF(E244="","",E244-I244)</f>
        <v/>
      </c>
      <c r="K244" s="6"/>
      <c r="L244" s="6"/>
    </row>
    <row r="245" customFormat="false" ht="15" hidden="false" customHeight="false" outlineLevel="0" collapsed="false">
      <c r="A245" s="11"/>
      <c r="B245" s="6"/>
      <c r="C245" s="12" t="str">
        <f aca="false">IF(B245="","",IFERROR(INDEX('Qualifier Registry'!$B$4:$B$103,MATCH(B245,'Qualifier Registry'!$A$4:$A$103,0)),"Not found"))</f>
        <v/>
      </c>
      <c r="D245" s="6"/>
      <c r="E245" s="13" t="str">
        <f aca="false">IF(D245="","",IFERROR(INDEX('Reference Tables'!$B$3:$B$8,MATCH(D245,'Reference Tables'!$A$3:$A$8,0)),"Invalid package"))</f>
        <v/>
      </c>
      <c r="F245" s="12" t="str">
        <f aca="false">IF(D245="","",IFERROR(INDEX('Reference Tables'!$C$3:$C$8,MATCH(D245,'Reference Tables'!$A$3:$A$8,0)),"Invalid package"))</f>
        <v/>
      </c>
      <c r="G245" s="14" t="str">
        <f aca="false">IF(E245="","",'Reference Tables'!$C$13)</f>
        <v/>
      </c>
      <c r="H245" s="12" t="str">
        <f aca="false">IF(E245="","",IF(E245&gt;=150,"Yes","No"))</f>
        <v/>
      </c>
      <c r="I245" s="13" t="str">
        <f aca="false">IF(E245="","",IF(H245="Yes",E245*G245,0))</f>
        <v/>
      </c>
      <c r="J245" s="13" t="str">
        <f aca="false">IF(E245="","",E245-I245)</f>
        <v/>
      </c>
      <c r="K245" s="6"/>
      <c r="L245" s="6"/>
    </row>
    <row r="246" customFormat="false" ht="15" hidden="false" customHeight="false" outlineLevel="0" collapsed="false">
      <c r="A246" s="11"/>
      <c r="B246" s="6"/>
      <c r="C246" s="12" t="str">
        <f aca="false">IF(B246="","",IFERROR(INDEX('Qualifier Registry'!$B$4:$B$103,MATCH(B246,'Qualifier Registry'!$A$4:$A$103,0)),"Not found"))</f>
        <v/>
      </c>
      <c r="D246" s="6"/>
      <c r="E246" s="13" t="str">
        <f aca="false">IF(D246="","",IFERROR(INDEX('Reference Tables'!$B$3:$B$8,MATCH(D246,'Reference Tables'!$A$3:$A$8,0)),"Invalid package"))</f>
        <v/>
      </c>
      <c r="F246" s="12" t="str">
        <f aca="false">IF(D246="","",IFERROR(INDEX('Reference Tables'!$C$3:$C$8,MATCH(D246,'Reference Tables'!$A$3:$A$8,0)),"Invalid package"))</f>
        <v/>
      </c>
      <c r="G246" s="14" t="str">
        <f aca="false">IF(E246="","",'Reference Tables'!$C$13)</f>
        <v/>
      </c>
      <c r="H246" s="12" t="str">
        <f aca="false">IF(E246="","",IF(E246&gt;=150,"Yes","No"))</f>
        <v/>
      </c>
      <c r="I246" s="13" t="str">
        <f aca="false">IF(E246="","",IF(H246="Yes",E246*G246,0))</f>
        <v/>
      </c>
      <c r="J246" s="13" t="str">
        <f aca="false">IF(E246="","",E246-I246)</f>
        <v/>
      </c>
      <c r="K246" s="6"/>
      <c r="L246" s="6"/>
    </row>
    <row r="247" customFormat="false" ht="15" hidden="false" customHeight="false" outlineLevel="0" collapsed="false">
      <c r="A247" s="11"/>
      <c r="B247" s="6"/>
      <c r="C247" s="12" t="str">
        <f aca="false">IF(B247="","",IFERROR(INDEX('Qualifier Registry'!$B$4:$B$103,MATCH(B247,'Qualifier Registry'!$A$4:$A$103,0)),"Not found"))</f>
        <v/>
      </c>
      <c r="D247" s="6"/>
      <c r="E247" s="13" t="str">
        <f aca="false">IF(D247="","",IFERROR(INDEX('Reference Tables'!$B$3:$B$8,MATCH(D247,'Reference Tables'!$A$3:$A$8,0)),"Invalid package"))</f>
        <v/>
      </c>
      <c r="F247" s="12" t="str">
        <f aca="false">IF(D247="","",IFERROR(INDEX('Reference Tables'!$C$3:$C$8,MATCH(D247,'Reference Tables'!$A$3:$A$8,0)),"Invalid package"))</f>
        <v/>
      </c>
      <c r="G247" s="14" t="str">
        <f aca="false">IF(E247="","",'Reference Tables'!$C$13)</f>
        <v/>
      </c>
      <c r="H247" s="12" t="str">
        <f aca="false">IF(E247="","",IF(E247&gt;=150,"Yes","No"))</f>
        <v/>
      </c>
      <c r="I247" s="13" t="str">
        <f aca="false">IF(E247="","",IF(H247="Yes",E247*G247,0))</f>
        <v/>
      </c>
      <c r="J247" s="13" t="str">
        <f aca="false">IF(E247="","",E247-I247)</f>
        <v/>
      </c>
      <c r="K247" s="6"/>
      <c r="L247" s="6"/>
    </row>
    <row r="248" customFormat="false" ht="15" hidden="false" customHeight="false" outlineLevel="0" collapsed="false">
      <c r="A248" s="11"/>
      <c r="B248" s="6"/>
      <c r="C248" s="12" t="str">
        <f aca="false">IF(B248="","",IFERROR(INDEX('Qualifier Registry'!$B$4:$B$103,MATCH(B248,'Qualifier Registry'!$A$4:$A$103,0)),"Not found"))</f>
        <v/>
      </c>
      <c r="D248" s="6"/>
      <c r="E248" s="13" t="str">
        <f aca="false">IF(D248="","",IFERROR(INDEX('Reference Tables'!$B$3:$B$8,MATCH(D248,'Reference Tables'!$A$3:$A$8,0)),"Invalid package"))</f>
        <v/>
      </c>
      <c r="F248" s="12" t="str">
        <f aca="false">IF(D248="","",IFERROR(INDEX('Reference Tables'!$C$3:$C$8,MATCH(D248,'Reference Tables'!$A$3:$A$8,0)),"Invalid package"))</f>
        <v/>
      </c>
      <c r="G248" s="14" t="str">
        <f aca="false">IF(E248="","",'Reference Tables'!$C$13)</f>
        <v/>
      </c>
      <c r="H248" s="12" t="str">
        <f aca="false">IF(E248="","",IF(E248&gt;=150,"Yes","No"))</f>
        <v/>
      </c>
      <c r="I248" s="13" t="str">
        <f aca="false">IF(E248="","",IF(H248="Yes",E248*G248,0))</f>
        <v/>
      </c>
      <c r="J248" s="13" t="str">
        <f aca="false">IF(E248="","",E248-I248)</f>
        <v/>
      </c>
      <c r="K248" s="6"/>
      <c r="L248" s="6"/>
    </row>
    <row r="249" customFormat="false" ht="15" hidden="false" customHeight="false" outlineLevel="0" collapsed="false">
      <c r="A249" s="11"/>
      <c r="B249" s="6"/>
      <c r="C249" s="12" t="str">
        <f aca="false">IF(B249="","",IFERROR(INDEX('Qualifier Registry'!$B$4:$B$103,MATCH(B249,'Qualifier Registry'!$A$4:$A$103,0)),"Not found"))</f>
        <v/>
      </c>
      <c r="D249" s="6"/>
      <c r="E249" s="13" t="str">
        <f aca="false">IF(D249="","",IFERROR(INDEX('Reference Tables'!$B$3:$B$8,MATCH(D249,'Reference Tables'!$A$3:$A$8,0)),"Invalid package"))</f>
        <v/>
      </c>
      <c r="F249" s="12" t="str">
        <f aca="false">IF(D249="","",IFERROR(INDEX('Reference Tables'!$C$3:$C$8,MATCH(D249,'Reference Tables'!$A$3:$A$8,0)),"Invalid package"))</f>
        <v/>
      </c>
      <c r="G249" s="14" t="str">
        <f aca="false">IF(E249="","",'Reference Tables'!$C$13)</f>
        <v/>
      </c>
      <c r="H249" s="12" t="str">
        <f aca="false">IF(E249="","",IF(E249&gt;=150,"Yes","No"))</f>
        <v/>
      </c>
      <c r="I249" s="13" t="str">
        <f aca="false">IF(E249="","",IF(H249="Yes",E249*G249,0))</f>
        <v/>
      </c>
      <c r="J249" s="13" t="str">
        <f aca="false">IF(E249="","",E249-I249)</f>
        <v/>
      </c>
      <c r="K249" s="6"/>
      <c r="L249" s="6"/>
    </row>
    <row r="250" customFormat="false" ht="15" hidden="false" customHeight="false" outlineLevel="0" collapsed="false">
      <c r="A250" s="11"/>
      <c r="B250" s="6"/>
      <c r="C250" s="12" t="str">
        <f aca="false">IF(B250="","",IFERROR(INDEX('Qualifier Registry'!$B$4:$B$103,MATCH(B250,'Qualifier Registry'!$A$4:$A$103,0)),"Not found"))</f>
        <v/>
      </c>
      <c r="D250" s="6"/>
      <c r="E250" s="13" t="str">
        <f aca="false">IF(D250="","",IFERROR(INDEX('Reference Tables'!$B$3:$B$8,MATCH(D250,'Reference Tables'!$A$3:$A$8,0)),"Invalid package"))</f>
        <v/>
      </c>
      <c r="F250" s="12" t="str">
        <f aca="false">IF(D250="","",IFERROR(INDEX('Reference Tables'!$C$3:$C$8,MATCH(D250,'Reference Tables'!$A$3:$A$8,0)),"Invalid package"))</f>
        <v/>
      </c>
      <c r="G250" s="14" t="str">
        <f aca="false">IF(E250="","",'Reference Tables'!$C$13)</f>
        <v/>
      </c>
      <c r="H250" s="12" t="str">
        <f aca="false">IF(E250="","",IF(E250&gt;=150,"Yes","No"))</f>
        <v/>
      </c>
      <c r="I250" s="13" t="str">
        <f aca="false">IF(E250="","",IF(H250="Yes",E250*G250,0))</f>
        <v/>
      </c>
      <c r="J250" s="13" t="str">
        <f aca="false">IF(E250="","",E250-I250)</f>
        <v/>
      </c>
      <c r="K250" s="6"/>
      <c r="L250" s="6"/>
    </row>
    <row r="251" customFormat="false" ht="15" hidden="false" customHeight="false" outlineLevel="0" collapsed="false">
      <c r="A251" s="11"/>
      <c r="B251" s="6"/>
      <c r="C251" s="12" t="str">
        <f aca="false">IF(B251="","",IFERROR(INDEX('Qualifier Registry'!$B$4:$B$103,MATCH(B251,'Qualifier Registry'!$A$4:$A$103,0)),"Not found"))</f>
        <v/>
      </c>
      <c r="D251" s="6"/>
      <c r="E251" s="13" t="str">
        <f aca="false">IF(D251="","",IFERROR(INDEX('Reference Tables'!$B$3:$B$8,MATCH(D251,'Reference Tables'!$A$3:$A$8,0)),"Invalid package"))</f>
        <v/>
      </c>
      <c r="F251" s="12" t="str">
        <f aca="false">IF(D251="","",IFERROR(INDEX('Reference Tables'!$C$3:$C$8,MATCH(D251,'Reference Tables'!$A$3:$A$8,0)),"Invalid package"))</f>
        <v/>
      </c>
      <c r="G251" s="14" t="str">
        <f aca="false">IF(E251="","",'Reference Tables'!$C$13)</f>
        <v/>
      </c>
      <c r="H251" s="12" t="str">
        <f aca="false">IF(E251="","",IF(E251&gt;=150,"Yes","No"))</f>
        <v/>
      </c>
      <c r="I251" s="13" t="str">
        <f aca="false">IF(E251="","",IF(H251="Yes",E251*G251,0))</f>
        <v/>
      </c>
      <c r="J251" s="13" t="str">
        <f aca="false">IF(E251="","",E251-I251)</f>
        <v/>
      </c>
      <c r="K251" s="6"/>
      <c r="L251" s="6"/>
    </row>
    <row r="252" customFormat="false" ht="15" hidden="false" customHeight="false" outlineLevel="0" collapsed="false">
      <c r="A252" s="11"/>
      <c r="B252" s="6"/>
      <c r="C252" s="12" t="str">
        <f aca="false">IF(B252="","",IFERROR(INDEX('Qualifier Registry'!$B$4:$B$103,MATCH(B252,'Qualifier Registry'!$A$4:$A$103,0)),"Not found"))</f>
        <v/>
      </c>
      <c r="D252" s="6"/>
      <c r="E252" s="13" t="str">
        <f aca="false">IF(D252="","",IFERROR(INDEX('Reference Tables'!$B$3:$B$8,MATCH(D252,'Reference Tables'!$A$3:$A$8,0)),"Invalid package"))</f>
        <v/>
      </c>
      <c r="F252" s="12" t="str">
        <f aca="false">IF(D252="","",IFERROR(INDEX('Reference Tables'!$C$3:$C$8,MATCH(D252,'Reference Tables'!$A$3:$A$8,0)),"Invalid package"))</f>
        <v/>
      </c>
      <c r="G252" s="14" t="str">
        <f aca="false">IF(E252="","",'Reference Tables'!$C$13)</f>
        <v/>
      </c>
      <c r="H252" s="12" t="str">
        <f aca="false">IF(E252="","",IF(E252&gt;=150,"Yes","No"))</f>
        <v/>
      </c>
      <c r="I252" s="13" t="str">
        <f aca="false">IF(E252="","",IF(H252="Yes",E252*G252,0))</f>
        <v/>
      </c>
      <c r="J252" s="13" t="str">
        <f aca="false">IF(E252="","",E252-I252)</f>
        <v/>
      </c>
      <c r="K252" s="6"/>
      <c r="L252" s="6"/>
    </row>
    <row r="253" customFormat="false" ht="15" hidden="false" customHeight="false" outlineLevel="0" collapsed="false">
      <c r="A253" s="11"/>
      <c r="B253" s="6"/>
      <c r="C253" s="12" t="str">
        <f aca="false">IF(B253="","",IFERROR(INDEX('Qualifier Registry'!$B$4:$B$103,MATCH(B253,'Qualifier Registry'!$A$4:$A$103,0)),"Not found"))</f>
        <v/>
      </c>
      <c r="D253" s="6"/>
      <c r="E253" s="13" t="str">
        <f aca="false">IF(D253="","",IFERROR(INDEX('Reference Tables'!$B$3:$B$8,MATCH(D253,'Reference Tables'!$A$3:$A$8,0)),"Invalid package"))</f>
        <v/>
      </c>
      <c r="F253" s="12" t="str">
        <f aca="false">IF(D253="","",IFERROR(INDEX('Reference Tables'!$C$3:$C$8,MATCH(D253,'Reference Tables'!$A$3:$A$8,0)),"Invalid package"))</f>
        <v/>
      </c>
      <c r="G253" s="14" t="str">
        <f aca="false">IF(E253="","",'Reference Tables'!$C$13)</f>
        <v/>
      </c>
      <c r="H253" s="12" t="str">
        <f aca="false">IF(E253="","",IF(E253&gt;=150,"Yes","No"))</f>
        <v/>
      </c>
      <c r="I253" s="13" t="str">
        <f aca="false">IF(E253="","",IF(H253="Yes",E253*G253,0))</f>
        <v/>
      </c>
      <c r="J253" s="13" t="str">
        <f aca="false">IF(E253="","",E253-I253)</f>
        <v/>
      </c>
      <c r="K253" s="6"/>
      <c r="L253" s="6"/>
    </row>
  </sheetData>
  <dataValidations count="1">
    <dataValidation allowBlank="true" errorStyle="stop" operator="between" showDropDown="false" showErrorMessage="false" showInputMessage="false" sqref="D4:D253" type="list">
      <formula1>'Reference Tables'!$A$3:$A$8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16"/>
    <col collapsed="false" customWidth="true" hidden="false" outlineLevel="0" max="4" min="4" style="0" width="15"/>
    <col collapsed="false" customWidth="true" hidden="false" outlineLevel="0" max="5" min="5" style="0" width="16"/>
    <col collapsed="false" customWidth="true" hidden="false" outlineLevel="0" max="6" min="6" style="0" width="13"/>
    <col collapsed="false" customWidth="true" hidden="false" outlineLevel="0" max="7" min="7" style="0" width="14"/>
    <col collapsed="false" customWidth="true" hidden="false" outlineLevel="0" max="8" min="8" style="0" width="12"/>
    <col collapsed="false" customWidth="true" hidden="false" outlineLevel="0" max="9" min="9" style="0" width="14"/>
    <col collapsed="false" customWidth="true" hidden="false" outlineLevel="0" max="10" min="10" style="0" width="16"/>
    <col collapsed="false" customWidth="true" hidden="false" outlineLevel="0" max="11" min="11" style="0" width="26"/>
  </cols>
  <sheetData>
    <row r="1" customFormat="false" ht="17.35" hidden="false" customHeight="false" outlineLevel="0" collapsed="false">
      <c r="A1" s="1" t="s">
        <v>78</v>
      </c>
    </row>
    <row r="2" customFormat="false" ht="15" hidden="false" customHeight="false" outlineLevel="0" collapsed="false">
      <c r="A2" s="2" t="s">
        <v>79</v>
      </c>
    </row>
    <row r="3" customFormat="false" ht="31.5" hidden="false" customHeight="true" outlineLevel="0" collapsed="false">
      <c r="A3" s="15" t="s">
        <v>53</v>
      </c>
      <c r="B3" s="15" t="s">
        <v>54</v>
      </c>
      <c r="C3" s="15" t="s">
        <v>55</v>
      </c>
      <c r="D3" s="15" t="s">
        <v>56</v>
      </c>
      <c r="E3" s="15" t="s">
        <v>80</v>
      </c>
      <c r="F3" s="15" t="s">
        <v>81</v>
      </c>
      <c r="G3" s="15" t="s">
        <v>57</v>
      </c>
      <c r="H3" s="15" t="s">
        <v>58</v>
      </c>
      <c r="I3" s="15" t="s">
        <v>82</v>
      </c>
      <c r="J3" s="15" t="s">
        <v>59</v>
      </c>
      <c r="K3" s="15" t="s">
        <v>60</v>
      </c>
    </row>
    <row r="4" customFormat="false" ht="15" hidden="false" customHeight="false" outlineLevel="0" collapsed="false">
      <c r="A4" s="6" t="s">
        <v>83</v>
      </c>
      <c r="B4" s="6" t="s">
        <v>62</v>
      </c>
      <c r="C4" s="6" t="s">
        <v>63</v>
      </c>
      <c r="D4" s="11" t="s">
        <v>64</v>
      </c>
      <c r="E4" s="6" t="s">
        <v>61</v>
      </c>
      <c r="F4" s="12" t="n">
        <f aca="false">IF(E4="",0,IFERROR(INDEX('Qualifier Registry'!$F$4:$F$103,MATCH(E4,'Qualifier Registry'!$A$4:$A$103,0)),0))</f>
        <v>10</v>
      </c>
      <c r="G4" s="12" t="n">
        <f aca="false">IF(A4="","",SUMIFS('Silver Log'!$F$4:$F$1000,'Silver Log'!$B$4:$B$1000,A4))</f>
        <v>10</v>
      </c>
      <c r="H4" s="12" t="n">
        <f aca="false">IF(A4="","",F4+G4)</f>
        <v>20</v>
      </c>
      <c r="I4" s="6" t="s">
        <v>84</v>
      </c>
      <c r="J4" s="16" t="s">
        <v>65</v>
      </c>
      <c r="K4" s="12" t="str">
        <f aca="false">IF(A4="","",IF(H4&gt;='Reference Tables'!$B$15,"Yes — issue Gold card","-"))</f>
        <v>-</v>
      </c>
    </row>
    <row r="5" customFormat="false" ht="15" hidden="false" customHeight="false" outlineLevel="0" collapsed="false">
      <c r="A5" s="6"/>
      <c r="B5" s="6"/>
      <c r="C5" s="6"/>
      <c r="D5" s="11"/>
      <c r="E5" s="6"/>
      <c r="F5" s="12" t="n">
        <f aca="false">IF(E5="",0,IFERROR(INDEX('Qualifier Registry'!$F$4:$F$103,MATCH(E5,'Qualifier Registry'!$A$4:$A$103,0)),0))</f>
        <v>0</v>
      </c>
      <c r="G5" s="12" t="str">
        <f aca="false">IF(A5="","",SUMIFS('Silver Log'!$F$4:$F$1000,'Silver Log'!$B$4:$B$1000,A5))</f>
        <v/>
      </c>
      <c r="H5" s="12" t="str">
        <f aca="false">IF(A5="","",F5+G5)</f>
        <v/>
      </c>
      <c r="I5" s="6"/>
      <c r="J5" s="16"/>
      <c r="K5" s="12" t="str">
        <f aca="false">IF(A5="","",IF(H5&gt;='Reference Tables'!$B$15,"Yes — issue Gold card","-"))</f>
        <v/>
      </c>
    </row>
    <row r="6" customFormat="false" ht="15" hidden="false" customHeight="false" outlineLevel="0" collapsed="false">
      <c r="A6" s="6"/>
      <c r="B6" s="6"/>
      <c r="C6" s="6"/>
      <c r="D6" s="11"/>
      <c r="E6" s="6"/>
      <c r="F6" s="12" t="n">
        <f aca="false">IF(E6="",0,IFERROR(INDEX('Qualifier Registry'!$F$4:$F$103,MATCH(E6,'Qualifier Registry'!$A$4:$A$103,0)),0))</f>
        <v>0</v>
      </c>
      <c r="G6" s="12" t="str">
        <f aca="false">IF(A6="","",SUMIFS('Silver Log'!$F$4:$F$1000,'Silver Log'!$B$4:$B$1000,A6))</f>
        <v/>
      </c>
      <c r="H6" s="12" t="str">
        <f aca="false">IF(A6="","",F6+G6)</f>
        <v/>
      </c>
      <c r="I6" s="6"/>
      <c r="J6" s="16"/>
      <c r="K6" s="12" t="str">
        <f aca="false">IF(A6="","",IF(H6&gt;='Reference Tables'!$B$15,"Yes — issue Gold card","-"))</f>
        <v/>
      </c>
    </row>
    <row r="7" customFormat="false" ht="15" hidden="false" customHeight="false" outlineLevel="0" collapsed="false">
      <c r="A7" s="6"/>
      <c r="B7" s="6"/>
      <c r="C7" s="6"/>
      <c r="D7" s="11"/>
      <c r="E7" s="6"/>
      <c r="F7" s="12" t="n">
        <f aca="false">IF(E7="",0,IFERROR(INDEX('Qualifier Registry'!$F$4:$F$103,MATCH(E7,'Qualifier Registry'!$A$4:$A$103,0)),0))</f>
        <v>0</v>
      </c>
      <c r="G7" s="12" t="str">
        <f aca="false">IF(A7="","",SUMIFS('Silver Log'!$F$4:$F$1000,'Silver Log'!$B$4:$B$1000,A7))</f>
        <v/>
      </c>
      <c r="H7" s="12" t="str">
        <f aca="false">IF(A7="","",F7+G7)</f>
        <v/>
      </c>
      <c r="I7" s="6"/>
      <c r="J7" s="16"/>
      <c r="K7" s="12" t="str">
        <f aca="false">IF(A7="","",IF(H7&gt;='Reference Tables'!$B$15,"Yes — issue Gold card","-"))</f>
        <v/>
      </c>
    </row>
    <row r="8" customFormat="false" ht="15" hidden="false" customHeight="false" outlineLevel="0" collapsed="false">
      <c r="A8" s="6"/>
      <c r="B8" s="6"/>
      <c r="C8" s="6"/>
      <c r="D8" s="11"/>
      <c r="E8" s="6"/>
      <c r="F8" s="12" t="n">
        <f aca="false">IF(E8="",0,IFERROR(INDEX('Qualifier Registry'!$F$4:$F$103,MATCH(E8,'Qualifier Registry'!$A$4:$A$103,0)),0))</f>
        <v>0</v>
      </c>
      <c r="G8" s="12" t="str">
        <f aca="false">IF(A8="","",SUMIFS('Silver Log'!$F$4:$F$1000,'Silver Log'!$B$4:$B$1000,A8))</f>
        <v/>
      </c>
      <c r="H8" s="12" t="str">
        <f aca="false">IF(A8="","",F8+G8)</f>
        <v/>
      </c>
      <c r="I8" s="6"/>
      <c r="J8" s="16"/>
      <c r="K8" s="12" t="str">
        <f aca="false">IF(A8="","",IF(H8&gt;='Reference Tables'!$B$15,"Yes — issue Gold card","-"))</f>
        <v/>
      </c>
    </row>
    <row r="9" customFormat="false" ht="15" hidden="false" customHeight="false" outlineLevel="0" collapsed="false">
      <c r="A9" s="6"/>
      <c r="B9" s="6"/>
      <c r="C9" s="6"/>
      <c r="D9" s="11"/>
      <c r="E9" s="6"/>
      <c r="F9" s="12" t="n">
        <f aca="false">IF(E9="",0,IFERROR(INDEX('Qualifier Registry'!$F$4:$F$103,MATCH(E9,'Qualifier Registry'!$A$4:$A$103,0)),0))</f>
        <v>0</v>
      </c>
      <c r="G9" s="12" t="str">
        <f aca="false">IF(A9="","",SUMIFS('Silver Log'!$F$4:$F$1000,'Silver Log'!$B$4:$B$1000,A9))</f>
        <v/>
      </c>
      <c r="H9" s="12" t="str">
        <f aca="false">IF(A9="","",F9+G9)</f>
        <v/>
      </c>
      <c r="I9" s="6"/>
      <c r="J9" s="16"/>
      <c r="K9" s="12" t="str">
        <f aca="false">IF(A9="","",IF(H9&gt;='Reference Tables'!$B$15,"Yes — issue Gold card","-"))</f>
        <v/>
      </c>
    </row>
    <row r="10" customFormat="false" ht="15" hidden="false" customHeight="false" outlineLevel="0" collapsed="false">
      <c r="A10" s="6"/>
      <c r="B10" s="6"/>
      <c r="C10" s="6"/>
      <c r="D10" s="11"/>
      <c r="E10" s="6"/>
      <c r="F10" s="12" t="n">
        <f aca="false">IF(E10="",0,IFERROR(INDEX('Qualifier Registry'!$F$4:$F$103,MATCH(E10,'Qualifier Registry'!$A$4:$A$103,0)),0))</f>
        <v>0</v>
      </c>
      <c r="G10" s="12" t="str">
        <f aca="false">IF(A10="","",SUMIFS('Silver Log'!$F$4:$F$1000,'Silver Log'!$B$4:$B$1000,A10))</f>
        <v/>
      </c>
      <c r="H10" s="12" t="str">
        <f aca="false">IF(A10="","",F10+G10)</f>
        <v/>
      </c>
      <c r="I10" s="6"/>
      <c r="J10" s="16"/>
      <c r="K10" s="12" t="str">
        <f aca="false">IF(A10="","",IF(H10&gt;='Reference Tables'!$B$15,"Yes — issue Gold card","-"))</f>
        <v/>
      </c>
    </row>
    <row r="11" customFormat="false" ht="15" hidden="false" customHeight="false" outlineLevel="0" collapsed="false">
      <c r="A11" s="6"/>
      <c r="B11" s="6"/>
      <c r="C11" s="6"/>
      <c r="D11" s="11"/>
      <c r="E11" s="6"/>
      <c r="F11" s="12" t="n">
        <f aca="false">IF(E11="",0,IFERROR(INDEX('Qualifier Registry'!$F$4:$F$103,MATCH(E11,'Qualifier Registry'!$A$4:$A$103,0)),0))</f>
        <v>0</v>
      </c>
      <c r="G11" s="12" t="str">
        <f aca="false">IF(A11="","",SUMIFS('Silver Log'!$F$4:$F$1000,'Silver Log'!$B$4:$B$1000,A11))</f>
        <v/>
      </c>
      <c r="H11" s="12" t="str">
        <f aca="false">IF(A11="","",F11+G11)</f>
        <v/>
      </c>
      <c r="I11" s="6"/>
      <c r="J11" s="16"/>
      <c r="K11" s="12" t="str">
        <f aca="false">IF(A11="","",IF(H11&gt;='Reference Tables'!$B$15,"Yes — issue Gold card","-"))</f>
        <v/>
      </c>
    </row>
    <row r="12" customFormat="false" ht="15" hidden="false" customHeight="false" outlineLevel="0" collapsed="false">
      <c r="A12" s="6"/>
      <c r="B12" s="6"/>
      <c r="C12" s="6"/>
      <c r="D12" s="11"/>
      <c r="E12" s="6"/>
      <c r="F12" s="12" t="n">
        <f aca="false">IF(E12="",0,IFERROR(INDEX('Qualifier Registry'!$F$4:$F$103,MATCH(E12,'Qualifier Registry'!$A$4:$A$103,0)),0))</f>
        <v>0</v>
      </c>
      <c r="G12" s="12" t="str">
        <f aca="false">IF(A12="","",SUMIFS('Silver Log'!$F$4:$F$1000,'Silver Log'!$B$4:$B$1000,A12))</f>
        <v/>
      </c>
      <c r="H12" s="12" t="str">
        <f aca="false">IF(A12="","",F12+G12)</f>
        <v/>
      </c>
      <c r="I12" s="6"/>
      <c r="J12" s="16"/>
      <c r="K12" s="12" t="str">
        <f aca="false">IF(A12="","",IF(H12&gt;='Reference Tables'!$B$15,"Yes — issue Gold card","-"))</f>
        <v/>
      </c>
    </row>
    <row r="13" customFormat="false" ht="15" hidden="false" customHeight="false" outlineLevel="0" collapsed="false">
      <c r="A13" s="6"/>
      <c r="B13" s="6"/>
      <c r="C13" s="6"/>
      <c r="D13" s="11"/>
      <c r="E13" s="6"/>
      <c r="F13" s="12" t="n">
        <f aca="false">IF(E13="",0,IFERROR(INDEX('Qualifier Registry'!$F$4:$F$103,MATCH(E13,'Qualifier Registry'!$A$4:$A$103,0)),0))</f>
        <v>0</v>
      </c>
      <c r="G13" s="12" t="str">
        <f aca="false">IF(A13="","",SUMIFS('Silver Log'!$F$4:$F$1000,'Silver Log'!$B$4:$B$1000,A13))</f>
        <v/>
      </c>
      <c r="H13" s="12" t="str">
        <f aca="false">IF(A13="","",F13+G13)</f>
        <v/>
      </c>
      <c r="I13" s="6"/>
      <c r="J13" s="16"/>
      <c r="K13" s="12" t="str">
        <f aca="false">IF(A13="","",IF(H13&gt;='Reference Tables'!$B$15,"Yes — issue Gold card","-"))</f>
        <v/>
      </c>
    </row>
    <row r="14" customFormat="false" ht="15" hidden="false" customHeight="false" outlineLevel="0" collapsed="false">
      <c r="A14" s="6"/>
      <c r="B14" s="6"/>
      <c r="C14" s="6"/>
      <c r="D14" s="11"/>
      <c r="E14" s="6"/>
      <c r="F14" s="12" t="n">
        <f aca="false">IF(E14="",0,IFERROR(INDEX('Qualifier Registry'!$F$4:$F$103,MATCH(E14,'Qualifier Registry'!$A$4:$A$103,0)),0))</f>
        <v>0</v>
      </c>
      <c r="G14" s="12" t="str">
        <f aca="false">IF(A14="","",SUMIFS('Silver Log'!$F$4:$F$1000,'Silver Log'!$B$4:$B$1000,A14))</f>
        <v/>
      </c>
      <c r="H14" s="12" t="str">
        <f aca="false">IF(A14="","",F14+G14)</f>
        <v/>
      </c>
      <c r="I14" s="6"/>
      <c r="J14" s="16"/>
      <c r="K14" s="12" t="str">
        <f aca="false">IF(A14="","",IF(H14&gt;='Reference Tables'!$B$15,"Yes — issue Gold card","-"))</f>
        <v/>
      </c>
    </row>
    <row r="15" customFormat="false" ht="15" hidden="false" customHeight="false" outlineLevel="0" collapsed="false">
      <c r="A15" s="6"/>
      <c r="B15" s="6"/>
      <c r="C15" s="6"/>
      <c r="D15" s="11"/>
      <c r="E15" s="6"/>
      <c r="F15" s="12" t="n">
        <f aca="false">IF(E15="",0,IFERROR(INDEX('Qualifier Registry'!$F$4:$F$103,MATCH(E15,'Qualifier Registry'!$A$4:$A$103,0)),0))</f>
        <v>0</v>
      </c>
      <c r="G15" s="12" t="str">
        <f aca="false">IF(A15="","",SUMIFS('Silver Log'!$F$4:$F$1000,'Silver Log'!$B$4:$B$1000,A15))</f>
        <v/>
      </c>
      <c r="H15" s="12" t="str">
        <f aca="false">IF(A15="","",F15+G15)</f>
        <v/>
      </c>
      <c r="I15" s="6"/>
      <c r="J15" s="16"/>
      <c r="K15" s="12" t="str">
        <f aca="false">IF(A15="","",IF(H15&gt;='Reference Tables'!$B$15,"Yes — issue Gold card","-"))</f>
        <v/>
      </c>
    </row>
    <row r="16" customFormat="false" ht="15" hidden="false" customHeight="false" outlineLevel="0" collapsed="false">
      <c r="A16" s="6"/>
      <c r="B16" s="6"/>
      <c r="C16" s="6"/>
      <c r="D16" s="11"/>
      <c r="E16" s="6"/>
      <c r="F16" s="12" t="n">
        <f aca="false">IF(E16="",0,IFERROR(INDEX('Qualifier Registry'!$F$4:$F$103,MATCH(E16,'Qualifier Registry'!$A$4:$A$103,0)),0))</f>
        <v>0</v>
      </c>
      <c r="G16" s="12" t="str">
        <f aca="false">IF(A16="","",SUMIFS('Silver Log'!$F$4:$F$1000,'Silver Log'!$B$4:$B$1000,A16))</f>
        <v/>
      </c>
      <c r="H16" s="12" t="str">
        <f aca="false">IF(A16="","",F16+G16)</f>
        <v/>
      </c>
      <c r="I16" s="6"/>
      <c r="J16" s="16"/>
      <c r="K16" s="12" t="str">
        <f aca="false">IF(A16="","",IF(H16&gt;='Reference Tables'!$B$15,"Yes — issue Gold card","-"))</f>
        <v/>
      </c>
    </row>
    <row r="17" customFormat="false" ht="15" hidden="false" customHeight="false" outlineLevel="0" collapsed="false">
      <c r="A17" s="6"/>
      <c r="B17" s="6"/>
      <c r="C17" s="6"/>
      <c r="D17" s="11"/>
      <c r="E17" s="6"/>
      <c r="F17" s="12" t="n">
        <f aca="false">IF(E17="",0,IFERROR(INDEX('Qualifier Registry'!$F$4:$F$103,MATCH(E17,'Qualifier Registry'!$A$4:$A$103,0)),0))</f>
        <v>0</v>
      </c>
      <c r="G17" s="12" t="str">
        <f aca="false">IF(A17="","",SUMIFS('Silver Log'!$F$4:$F$1000,'Silver Log'!$B$4:$B$1000,A17))</f>
        <v/>
      </c>
      <c r="H17" s="12" t="str">
        <f aca="false">IF(A17="","",F17+G17)</f>
        <v/>
      </c>
      <c r="I17" s="6"/>
      <c r="J17" s="16"/>
      <c r="K17" s="12" t="str">
        <f aca="false">IF(A17="","",IF(H17&gt;='Reference Tables'!$B$15,"Yes — issue Gold card","-"))</f>
        <v/>
      </c>
    </row>
    <row r="18" customFormat="false" ht="15" hidden="false" customHeight="false" outlineLevel="0" collapsed="false">
      <c r="A18" s="6"/>
      <c r="B18" s="6"/>
      <c r="C18" s="6"/>
      <c r="D18" s="11"/>
      <c r="E18" s="6"/>
      <c r="F18" s="12" t="n">
        <f aca="false">IF(E18="",0,IFERROR(INDEX('Qualifier Registry'!$F$4:$F$103,MATCH(E18,'Qualifier Registry'!$A$4:$A$103,0)),0))</f>
        <v>0</v>
      </c>
      <c r="G18" s="12" t="str">
        <f aca="false">IF(A18="","",SUMIFS('Silver Log'!$F$4:$F$1000,'Silver Log'!$B$4:$B$1000,A18))</f>
        <v/>
      </c>
      <c r="H18" s="12" t="str">
        <f aca="false">IF(A18="","",F18+G18)</f>
        <v/>
      </c>
      <c r="I18" s="6"/>
      <c r="J18" s="16"/>
      <c r="K18" s="12" t="str">
        <f aca="false">IF(A18="","",IF(H18&gt;='Reference Tables'!$B$15,"Yes — issue Gold card","-"))</f>
        <v/>
      </c>
    </row>
    <row r="19" customFormat="false" ht="15" hidden="false" customHeight="false" outlineLevel="0" collapsed="false">
      <c r="A19" s="6"/>
      <c r="B19" s="6"/>
      <c r="C19" s="6"/>
      <c r="D19" s="11"/>
      <c r="E19" s="6"/>
      <c r="F19" s="12" t="n">
        <f aca="false">IF(E19="",0,IFERROR(INDEX('Qualifier Registry'!$F$4:$F$103,MATCH(E19,'Qualifier Registry'!$A$4:$A$103,0)),0))</f>
        <v>0</v>
      </c>
      <c r="G19" s="12" t="str">
        <f aca="false">IF(A19="","",SUMIFS('Silver Log'!$F$4:$F$1000,'Silver Log'!$B$4:$B$1000,A19))</f>
        <v/>
      </c>
      <c r="H19" s="12" t="str">
        <f aca="false">IF(A19="","",F19+G19)</f>
        <v/>
      </c>
      <c r="I19" s="6"/>
      <c r="J19" s="16"/>
      <c r="K19" s="12" t="str">
        <f aca="false">IF(A19="","",IF(H19&gt;='Reference Tables'!$B$15,"Yes — issue Gold card","-"))</f>
        <v/>
      </c>
    </row>
    <row r="20" customFormat="false" ht="15" hidden="false" customHeight="false" outlineLevel="0" collapsed="false">
      <c r="A20" s="6"/>
      <c r="B20" s="6"/>
      <c r="C20" s="6"/>
      <c r="D20" s="11"/>
      <c r="E20" s="6"/>
      <c r="F20" s="12" t="n">
        <f aca="false">IF(E20="",0,IFERROR(INDEX('Qualifier Registry'!$F$4:$F$103,MATCH(E20,'Qualifier Registry'!$A$4:$A$103,0)),0))</f>
        <v>0</v>
      </c>
      <c r="G20" s="12" t="str">
        <f aca="false">IF(A20="","",SUMIFS('Silver Log'!$F$4:$F$1000,'Silver Log'!$B$4:$B$1000,A20))</f>
        <v/>
      </c>
      <c r="H20" s="12" t="str">
        <f aca="false">IF(A20="","",F20+G20)</f>
        <v/>
      </c>
      <c r="I20" s="6"/>
      <c r="J20" s="16"/>
      <c r="K20" s="12" t="str">
        <f aca="false">IF(A20="","",IF(H20&gt;='Reference Tables'!$B$15,"Yes — issue Gold card","-"))</f>
        <v/>
      </c>
    </row>
    <row r="21" customFormat="false" ht="15" hidden="false" customHeight="false" outlineLevel="0" collapsed="false">
      <c r="A21" s="6"/>
      <c r="B21" s="6"/>
      <c r="C21" s="6"/>
      <c r="D21" s="11"/>
      <c r="E21" s="6"/>
      <c r="F21" s="12" t="n">
        <f aca="false">IF(E21="",0,IFERROR(INDEX('Qualifier Registry'!$F$4:$F$103,MATCH(E21,'Qualifier Registry'!$A$4:$A$103,0)),0))</f>
        <v>0</v>
      </c>
      <c r="G21" s="12" t="str">
        <f aca="false">IF(A21="","",SUMIFS('Silver Log'!$F$4:$F$1000,'Silver Log'!$B$4:$B$1000,A21))</f>
        <v/>
      </c>
      <c r="H21" s="12" t="str">
        <f aca="false">IF(A21="","",F21+G21)</f>
        <v/>
      </c>
      <c r="I21" s="6"/>
      <c r="J21" s="16"/>
      <c r="K21" s="12" t="str">
        <f aca="false">IF(A21="","",IF(H21&gt;='Reference Tables'!$B$15,"Yes — issue Gold card","-"))</f>
        <v/>
      </c>
    </row>
    <row r="22" customFormat="false" ht="15" hidden="false" customHeight="false" outlineLevel="0" collapsed="false">
      <c r="A22" s="6"/>
      <c r="B22" s="6"/>
      <c r="C22" s="6"/>
      <c r="D22" s="11"/>
      <c r="E22" s="6"/>
      <c r="F22" s="12" t="n">
        <f aca="false">IF(E22="",0,IFERROR(INDEX('Qualifier Registry'!$F$4:$F$103,MATCH(E22,'Qualifier Registry'!$A$4:$A$103,0)),0))</f>
        <v>0</v>
      </c>
      <c r="G22" s="12" t="str">
        <f aca="false">IF(A22="","",SUMIFS('Silver Log'!$F$4:$F$1000,'Silver Log'!$B$4:$B$1000,A22))</f>
        <v/>
      </c>
      <c r="H22" s="12" t="str">
        <f aca="false">IF(A22="","",F22+G22)</f>
        <v/>
      </c>
      <c r="I22" s="6"/>
      <c r="J22" s="16"/>
      <c r="K22" s="12" t="str">
        <f aca="false">IF(A22="","",IF(H22&gt;='Reference Tables'!$B$15,"Yes — issue Gold card","-"))</f>
        <v/>
      </c>
    </row>
    <row r="23" customFormat="false" ht="15" hidden="false" customHeight="false" outlineLevel="0" collapsed="false">
      <c r="A23" s="6"/>
      <c r="B23" s="6"/>
      <c r="C23" s="6"/>
      <c r="D23" s="11"/>
      <c r="E23" s="6"/>
      <c r="F23" s="12" t="n">
        <f aca="false">IF(E23="",0,IFERROR(INDEX('Qualifier Registry'!$F$4:$F$103,MATCH(E23,'Qualifier Registry'!$A$4:$A$103,0)),0))</f>
        <v>0</v>
      </c>
      <c r="G23" s="12" t="str">
        <f aca="false">IF(A23="","",SUMIFS('Silver Log'!$F$4:$F$1000,'Silver Log'!$B$4:$B$1000,A23))</f>
        <v/>
      </c>
      <c r="H23" s="12" t="str">
        <f aca="false">IF(A23="","",F23+G23)</f>
        <v/>
      </c>
      <c r="I23" s="6"/>
      <c r="J23" s="16"/>
      <c r="K23" s="12" t="str">
        <f aca="false">IF(A23="","",IF(H23&gt;='Reference Tables'!$B$15,"Yes — issue Gold card","-"))</f>
        <v/>
      </c>
    </row>
    <row r="24" customFormat="false" ht="15" hidden="false" customHeight="false" outlineLevel="0" collapsed="false">
      <c r="A24" s="6"/>
      <c r="B24" s="6"/>
      <c r="C24" s="6"/>
      <c r="D24" s="11"/>
      <c r="E24" s="6"/>
      <c r="F24" s="12" t="n">
        <f aca="false">IF(E24="",0,IFERROR(INDEX('Qualifier Registry'!$F$4:$F$103,MATCH(E24,'Qualifier Registry'!$A$4:$A$103,0)),0))</f>
        <v>0</v>
      </c>
      <c r="G24" s="12" t="str">
        <f aca="false">IF(A24="","",SUMIFS('Silver Log'!$F$4:$F$1000,'Silver Log'!$B$4:$B$1000,A24))</f>
        <v/>
      </c>
      <c r="H24" s="12" t="str">
        <f aca="false">IF(A24="","",F24+G24)</f>
        <v/>
      </c>
      <c r="I24" s="6"/>
      <c r="J24" s="16"/>
      <c r="K24" s="12" t="str">
        <f aca="false">IF(A24="","",IF(H24&gt;='Reference Tables'!$B$15,"Yes — issue Gold card","-"))</f>
        <v/>
      </c>
    </row>
    <row r="25" customFormat="false" ht="15" hidden="false" customHeight="false" outlineLevel="0" collapsed="false">
      <c r="A25" s="6"/>
      <c r="B25" s="6"/>
      <c r="C25" s="6"/>
      <c r="D25" s="11"/>
      <c r="E25" s="6"/>
      <c r="F25" s="12" t="n">
        <f aca="false">IF(E25="",0,IFERROR(INDEX('Qualifier Registry'!$F$4:$F$103,MATCH(E25,'Qualifier Registry'!$A$4:$A$103,0)),0))</f>
        <v>0</v>
      </c>
      <c r="G25" s="12" t="str">
        <f aca="false">IF(A25="","",SUMIFS('Silver Log'!$F$4:$F$1000,'Silver Log'!$B$4:$B$1000,A25))</f>
        <v/>
      </c>
      <c r="H25" s="12" t="str">
        <f aca="false">IF(A25="","",F25+G25)</f>
        <v/>
      </c>
      <c r="I25" s="6"/>
      <c r="J25" s="16"/>
      <c r="K25" s="12" t="str">
        <f aca="false">IF(A25="","",IF(H25&gt;='Reference Tables'!$B$15,"Yes — issue Gold card","-"))</f>
        <v/>
      </c>
    </row>
    <row r="26" customFormat="false" ht="15" hidden="false" customHeight="false" outlineLevel="0" collapsed="false">
      <c r="A26" s="6"/>
      <c r="B26" s="6"/>
      <c r="C26" s="6"/>
      <c r="D26" s="11"/>
      <c r="E26" s="6"/>
      <c r="F26" s="12" t="n">
        <f aca="false">IF(E26="",0,IFERROR(INDEX('Qualifier Registry'!$F$4:$F$103,MATCH(E26,'Qualifier Registry'!$A$4:$A$103,0)),0))</f>
        <v>0</v>
      </c>
      <c r="G26" s="12" t="str">
        <f aca="false">IF(A26="","",SUMIFS('Silver Log'!$F$4:$F$1000,'Silver Log'!$B$4:$B$1000,A26))</f>
        <v/>
      </c>
      <c r="H26" s="12" t="str">
        <f aca="false">IF(A26="","",F26+G26)</f>
        <v/>
      </c>
      <c r="I26" s="6"/>
      <c r="J26" s="16"/>
      <c r="K26" s="12" t="str">
        <f aca="false">IF(A26="","",IF(H26&gt;='Reference Tables'!$B$15,"Yes — issue Gold card","-"))</f>
        <v/>
      </c>
    </row>
    <row r="27" customFormat="false" ht="15" hidden="false" customHeight="false" outlineLevel="0" collapsed="false">
      <c r="A27" s="6"/>
      <c r="B27" s="6"/>
      <c r="C27" s="6"/>
      <c r="D27" s="11"/>
      <c r="E27" s="6"/>
      <c r="F27" s="12" t="n">
        <f aca="false">IF(E27="",0,IFERROR(INDEX('Qualifier Registry'!$F$4:$F$103,MATCH(E27,'Qualifier Registry'!$A$4:$A$103,0)),0))</f>
        <v>0</v>
      </c>
      <c r="G27" s="12" t="str">
        <f aca="false">IF(A27="","",SUMIFS('Silver Log'!$F$4:$F$1000,'Silver Log'!$B$4:$B$1000,A27))</f>
        <v/>
      </c>
      <c r="H27" s="12" t="str">
        <f aca="false">IF(A27="","",F27+G27)</f>
        <v/>
      </c>
      <c r="I27" s="6"/>
      <c r="J27" s="16"/>
      <c r="K27" s="12" t="str">
        <f aca="false">IF(A27="","",IF(H27&gt;='Reference Tables'!$B$15,"Yes — issue Gold card","-"))</f>
        <v/>
      </c>
    </row>
    <row r="28" customFormat="false" ht="15" hidden="false" customHeight="false" outlineLevel="0" collapsed="false">
      <c r="A28" s="6"/>
      <c r="B28" s="6"/>
      <c r="C28" s="6"/>
      <c r="D28" s="11"/>
      <c r="E28" s="6"/>
      <c r="F28" s="12" t="n">
        <f aca="false">IF(E28="",0,IFERROR(INDEX('Qualifier Registry'!$F$4:$F$103,MATCH(E28,'Qualifier Registry'!$A$4:$A$103,0)),0))</f>
        <v>0</v>
      </c>
      <c r="G28" s="12" t="str">
        <f aca="false">IF(A28="","",SUMIFS('Silver Log'!$F$4:$F$1000,'Silver Log'!$B$4:$B$1000,A28))</f>
        <v/>
      </c>
      <c r="H28" s="12" t="str">
        <f aca="false">IF(A28="","",F28+G28)</f>
        <v/>
      </c>
      <c r="I28" s="6"/>
      <c r="J28" s="16"/>
      <c r="K28" s="12" t="str">
        <f aca="false">IF(A28="","",IF(H28&gt;='Reference Tables'!$B$15,"Yes — issue Gold card","-"))</f>
        <v/>
      </c>
    </row>
    <row r="29" customFormat="false" ht="15" hidden="false" customHeight="false" outlineLevel="0" collapsed="false">
      <c r="A29" s="6"/>
      <c r="B29" s="6"/>
      <c r="C29" s="6"/>
      <c r="D29" s="11"/>
      <c r="E29" s="6"/>
      <c r="F29" s="12" t="n">
        <f aca="false">IF(E29="",0,IFERROR(INDEX('Qualifier Registry'!$F$4:$F$103,MATCH(E29,'Qualifier Registry'!$A$4:$A$103,0)),0))</f>
        <v>0</v>
      </c>
      <c r="G29" s="12" t="str">
        <f aca="false">IF(A29="","",SUMIFS('Silver Log'!$F$4:$F$1000,'Silver Log'!$B$4:$B$1000,A29))</f>
        <v/>
      </c>
      <c r="H29" s="12" t="str">
        <f aca="false">IF(A29="","",F29+G29)</f>
        <v/>
      </c>
      <c r="I29" s="6"/>
      <c r="J29" s="16"/>
      <c r="K29" s="12" t="str">
        <f aca="false">IF(A29="","",IF(H29&gt;='Reference Tables'!$B$15,"Yes — issue Gold card","-"))</f>
        <v/>
      </c>
    </row>
    <row r="30" customFormat="false" ht="15" hidden="false" customHeight="false" outlineLevel="0" collapsed="false">
      <c r="A30" s="6"/>
      <c r="B30" s="6"/>
      <c r="C30" s="6"/>
      <c r="D30" s="11"/>
      <c r="E30" s="6"/>
      <c r="F30" s="12" t="n">
        <f aca="false">IF(E30="",0,IFERROR(INDEX('Qualifier Registry'!$F$4:$F$103,MATCH(E30,'Qualifier Registry'!$A$4:$A$103,0)),0))</f>
        <v>0</v>
      </c>
      <c r="G30" s="12" t="str">
        <f aca="false">IF(A30="","",SUMIFS('Silver Log'!$F$4:$F$1000,'Silver Log'!$B$4:$B$1000,A30))</f>
        <v/>
      </c>
      <c r="H30" s="12" t="str">
        <f aca="false">IF(A30="","",F30+G30)</f>
        <v/>
      </c>
      <c r="I30" s="6"/>
      <c r="J30" s="16"/>
      <c r="K30" s="12" t="str">
        <f aca="false">IF(A30="","",IF(H30&gt;='Reference Tables'!$B$15,"Yes — issue Gold card","-"))</f>
        <v/>
      </c>
    </row>
    <row r="31" customFormat="false" ht="15" hidden="false" customHeight="false" outlineLevel="0" collapsed="false">
      <c r="A31" s="6"/>
      <c r="B31" s="6"/>
      <c r="C31" s="6"/>
      <c r="D31" s="11"/>
      <c r="E31" s="6"/>
      <c r="F31" s="12" t="n">
        <f aca="false">IF(E31="",0,IFERROR(INDEX('Qualifier Registry'!$F$4:$F$103,MATCH(E31,'Qualifier Registry'!$A$4:$A$103,0)),0))</f>
        <v>0</v>
      </c>
      <c r="G31" s="12" t="str">
        <f aca="false">IF(A31="","",SUMIFS('Silver Log'!$F$4:$F$1000,'Silver Log'!$B$4:$B$1000,A31))</f>
        <v/>
      </c>
      <c r="H31" s="12" t="str">
        <f aca="false">IF(A31="","",F31+G31)</f>
        <v/>
      </c>
      <c r="I31" s="6"/>
      <c r="J31" s="16"/>
      <c r="K31" s="12" t="str">
        <f aca="false">IF(A31="","",IF(H31&gt;='Reference Tables'!$B$15,"Yes — issue Gold card","-"))</f>
        <v/>
      </c>
    </row>
    <row r="32" customFormat="false" ht="15" hidden="false" customHeight="false" outlineLevel="0" collapsed="false">
      <c r="A32" s="6"/>
      <c r="B32" s="6"/>
      <c r="C32" s="6"/>
      <c r="D32" s="11"/>
      <c r="E32" s="6"/>
      <c r="F32" s="12" t="n">
        <f aca="false">IF(E32="",0,IFERROR(INDEX('Qualifier Registry'!$F$4:$F$103,MATCH(E32,'Qualifier Registry'!$A$4:$A$103,0)),0))</f>
        <v>0</v>
      </c>
      <c r="G32" s="12" t="str">
        <f aca="false">IF(A32="","",SUMIFS('Silver Log'!$F$4:$F$1000,'Silver Log'!$B$4:$B$1000,A32))</f>
        <v/>
      </c>
      <c r="H32" s="12" t="str">
        <f aca="false">IF(A32="","",F32+G32)</f>
        <v/>
      </c>
      <c r="I32" s="6"/>
      <c r="J32" s="16"/>
      <c r="K32" s="12" t="str">
        <f aca="false">IF(A32="","",IF(H32&gt;='Reference Tables'!$B$15,"Yes — issue Gold card","-"))</f>
        <v/>
      </c>
    </row>
    <row r="33" customFormat="false" ht="15" hidden="false" customHeight="false" outlineLevel="0" collapsed="false">
      <c r="A33" s="6"/>
      <c r="B33" s="6"/>
      <c r="C33" s="6"/>
      <c r="D33" s="11"/>
      <c r="E33" s="6"/>
      <c r="F33" s="12" t="n">
        <f aca="false">IF(E33="",0,IFERROR(INDEX('Qualifier Registry'!$F$4:$F$103,MATCH(E33,'Qualifier Registry'!$A$4:$A$103,0)),0))</f>
        <v>0</v>
      </c>
      <c r="G33" s="12" t="str">
        <f aca="false">IF(A33="","",SUMIFS('Silver Log'!$F$4:$F$1000,'Silver Log'!$B$4:$B$1000,A33))</f>
        <v/>
      </c>
      <c r="H33" s="12" t="str">
        <f aca="false">IF(A33="","",F33+G33)</f>
        <v/>
      </c>
      <c r="I33" s="6"/>
      <c r="J33" s="16"/>
      <c r="K33" s="12" t="str">
        <f aca="false">IF(A33="","",IF(H33&gt;='Reference Tables'!$B$15,"Yes — issue Gold card","-"))</f>
        <v/>
      </c>
    </row>
    <row r="34" customFormat="false" ht="15" hidden="false" customHeight="false" outlineLevel="0" collapsed="false">
      <c r="A34" s="6"/>
      <c r="B34" s="6"/>
      <c r="C34" s="6"/>
      <c r="D34" s="11"/>
      <c r="E34" s="6"/>
      <c r="F34" s="12" t="n">
        <f aca="false">IF(E34="",0,IFERROR(INDEX('Qualifier Registry'!$F$4:$F$103,MATCH(E34,'Qualifier Registry'!$A$4:$A$103,0)),0))</f>
        <v>0</v>
      </c>
      <c r="G34" s="12" t="str">
        <f aca="false">IF(A34="","",SUMIFS('Silver Log'!$F$4:$F$1000,'Silver Log'!$B$4:$B$1000,A34))</f>
        <v/>
      </c>
      <c r="H34" s="12" t="str">
        <f aca="false">IF(A34="","",F34+G34)</f>
        <v/>
      </c>
      <c r="I34" s="6"/>
      <c r="J34" s="16"/>
      <c r="K34" s="12" t="str">
        <f aca="false">IF(A34="","",IF(H34&gt;='Reference Tables'!$B$15,"Yes — issue Gold card","-"))</f>
        <v/>
      </c>
    </row>
    <row r="35" customFormat="false" ht="15" hidden="false" customHeight="false" outlineLevel="0" collapsed="false">
      <c r="A35" s="6"/>
      <c r="B35" s="6"/>
      <c r="C35" s="6"/>
      <c r="D35" s="11"/>
      <c r="E35" s="6"/>
      <c r="F35" s="12" t="n">
        <f aca="false">IF(E35="",0,IFERROR(INDEX('Qualifier Registry'!$F$4:$F$103,MATCH(E35,'Qualifier Registry'!$A$4:$A$103,0)),0))</f>
        <v>0</v>
      </c>
      <c r="G35" s="12" t="str">
        <f aca="false">IF(A35="","",SUMIFS('Silver Log'!$F$4:$F$1000,'Silver Log'!$B$4:$B$1000,A35))</f>
        <v/>
      </c>
      <c r="H35" s="12" t="str">
        <f aca="false">IF(A35="","",F35+G35)</f>
        <v/>
      </c>
      <c r="I35" s="6"/>
      <c r="J35" s="16"/>
      <c r="K35" s="12" t="str">
        <f aca="false">IF(A35="","",IF(H35&gt;='Reference Tables'!$B$15,"Yes — issue Gold card","-"))</f>
        <v/>
      </c>
    </row>
    <row r="36" customFormat="false" ht="15" hidden="false" customHeight="false" outlineLevel="0" collapsed="false">
      <c r="A36" s="6"/>
      <c r="B36" s="6"/>
      <c r="C36" s="6"/>
      <c r="D36" s="11"/>
      <c r="E36" s="6"/>
      <c r="F36" s="12" t="n">
        <f aca="false">IF(E36="",0,IFERROR(INDEX('Qualifier Registry'!$F$4:$F$103,MATCH(E36,'Qualifier Registry'!$A$4:$A$103,0)),0))</f>
        <v>0</v>
      </c>
      <c r="G36" s="12" t="str">
        <f aca="false">IF(A36="","",SUMIFS('Silver Log'!$F$4:$F$1000,'Silver Log'!$B$4:$B$1000,A36))</f>
        <v/>
      </c>
      <c r="H36" s="12" t="str">
        <f aca="false">IF(A36="","",F36+G36)</f>
        <v/>
      </c>
      <c r="I36" s="6"/>
      <c r="J36" s="16"/>
      <c r="K36" s="12" t="str">
        <f aca="false">IF(A36="","",IF(H36&gt;='Reference Tables'!$B$15,"Yes — issue Gold card","-"))</f>
        <v/>
      </c>
    </row>
    <row r="37" customFormat="false" ht="15" hidden="false" customHeight="false" outlineLevel="0" collapsed="false">
      <c r="A37" s="6"/>
      <c r="B37" s="6"/>
      <c r="C37" s="6"/>
      <c r="D37" s="11"/>
      <c r="E37" s="6"/>
      <c r="F37" s="12" t="n">
        <f aca="false">IF(E37="",0,IFERROR(INDEX('Qualifier Registry'!$F$4:$F$103,MATCH(E37,'Qualifier Registry'!$A$4:$A$103,0)),0))</f>
        <v>0</v>
      </c>
      <c r="G37" s="12" t="str">
        <f aca="false">IF(A37="","",SUMIFS('Silver Log'!$F$4:$F$1000,'Silver Log'!$B$4:$B$1000,A37))</f>
        <v/>
      </c>
      <c r="H37" s="12" t="str">
        <f aca="false">IF(A37="","",F37+G37)</f>
        <v/>
      </c>
      <c r="I37" s="6"/>
      <c r="J37" s="16"/>
      <c r="K37" s="12" t="str">
        <f aca="false">IF(A37="","",IF(H37&gt;='Reference Tables'!$B$15,"Yes — issue Gold card","-"))</f>
        <v/>
      </c>
    </row>
    <row r="38" customFormat="false" ht="15" hidden="false" customHeight="false" outlineLevel="0" collapsed="false">
      <c r="A38" s="6"/>
      <c r="B38" s="6"/>
      <c r="C38" s="6"/>
      <c r="D38" s="11"/>
      <c r="E38" s="6"/>
      <c r="F38" s="12" t="n">
        <f aca="false">IF(E38="",0,IFERROR(INDEX('Qualifier Registry'!$F$4:$F$103,MATCH(E38,'Qualifier Registry'!$A$4:$A$103,0)),0))</f>
        <v>0</v>
      </c>
      <c r="G38" s="12" t="str">
        <f aca="false">IF(A38="","",SUMIFS('Silver Log'!$F$4:$F$1000,'Silver Log'!$B$4:$B$1000,A38))</f>
        <v/>
      </c>
      <c r="H38" s="12" t="str">
        <f aca="false">IF(A38="","",F38+G38)</f>
        <v/>
      </c>
      <c r="I38" s="6"/>
      <c r="J38" s="16"/>
      <c r="K38" s="12" t="str">
        <f aca="false">IF(A38="","",IF(H38&gt;='Reference Tables'!$B$15,"Yes — issue Gold card","-"))</f>
        <v/>
      </c>
    </row>
    <row r="39" customFormat="false" ht="15" hidden="false" customHeight="false" outlineLevel="0" collapsed="false">
      <c r="A39" s="6"/>
      <c r="B39" s="6"/>
      <c r="C39" s="6"/>
      <c r="D39" s="11"/>
      <c r="E39" s="6"/>
      <c r="F39" s="12" t="n">
        <f aca="false">IF(E39="",0,IFERROR(INDEX('Qualifier Registry'!$F$4:$F$103,MATCH(E39,'Qualifier Registry'!$A$4:$A$103,0)),0))</f>
        <v>0</v>
      </c>
      <c r="G39" s="12" t="str">
        <f aca="false">IF(A39="","",SUMIFS('Silver Log'!$F$4:$F$1000,'Silver Log'!$B$4:$B$1000,A39))</f>
        <v/>
      </c>
      <c r="H39" s="12" t="str">
        <f aca="false">IF(A39="","",F39+G39)</f>
        <v/>
      </c>
      <c r="I39" s="6"/>
      <c r="J39" s="16"/>
      <c r="K39" s="12" t="str">
        <f aca="false">IF(A39="","",IF(H39&gt;='Reference Tables'!$B$15,"Yes — issue Gold card","-"))</f>
        <v/>
      </c>
    </row>
    <row r="40" customFormat="false" ht="15" hidden="false" customHeight="false" outlineLevel="0" collapsed="false">
      <c r="A40" s="6"/>
      <c r="B40" s="6"/>
      <c r="C40" s="6"/>
      <c r="D40" s="11"/>
      <c r="E40" s="6"/>
      <c r="F40" s="12" t="n">
        <f aca="false">IF(E40="",0,IFERROR(INDEX('Qualifier Registry'!$F$4:$F$103,MATCH(E40,'Qualifier Registry'!$A$4:$A$103,0)),0))</f>
        <v>0</v>
      </c>
      <c r="G40" s="12" t="str">
        <f aca="false">IF(A40="","",SUMIFS('Silver Log'!$F$4:$F$1000,'Silver Log'!$B$4:$B$1000,A40))</f>
        <v/>
      </c>
      <c r="H40" s="12" t="str">
        <f aca="false">IF(A40="","",F40+G40)</f>
        <v/>
      </c>
      <c r="I40" s="6"/>
      <c r="J40" s="16"/>
      <c r="K40" s="12" t="str">
        <f aca="false">IF(A40="","",IF(H40&gt;='Reference Tables'!$B$15,"Yes — issue Gold card","-"))</f>
        <v/>
      </c>
    </row>
    <row r="41" customFormat="false" ht="15" hidden="false" customHeight="false" outlineLevel="0" collapsed="false">
      <c r="A41" s="6"/>
      <c r="B41" s="6"/>
      <c r="C41" s="6"/>
      <c r="D41" s="11"/>
      <c r="E41" s="6"/>
      <c r="F41" s="12" t="n">
        <f aca="false">IF(E41="",0,IFERROR(INDEX('Qualifier Registry'!$F$4:$F$103,MATCH(E41,'Qualifier Registry'!$A$4:$A$103,0)),0))</f>
        <v>0</v>
      </c>
      <c r="G41" s="12" t="str">
        <f aca="false">IF(A41="","",SUMIFS('Silver Log'!$F$4:$F$1000,'Silver Log'!$B$4:$B$1000,A41))</f>
        <v/>
      </c>
      <c r="H41" s="12" t="str">
        <f aca="false">IF(A41="","",F41+G41)</f>
        <v/>
      </c>
      <c r="I41" s="6"/>
      <c r="J41" s="16"/>
      <c r="K41" s="12" t="str">
        <f aca="false">IF(A41="","",IF(H41&gt;='Reference Tables'!$B$15,"Yes — issue Gold card","-"))</f>
        <v/>
      </c>
    </row>
    <row r="42" customFormat="false" ht="15" hidden="false" customHeight="false" outlineLevel="0" collapsed="false">
      <c r="A42" s="6"/>
      <c r="B42" s="6"/>
      <c r="C42" s="6"/>
      <c r="D42" s="11"/>
      <c r="E42" s="6"/>
      <c r="F42" s="12" t="n">
        <f aca="false">IF(E42="",0,IFERROR(INDEX('Qualifier Registry'!$F$4:$F$103,MATCH(E42,'Qualifier Registry'!$A$4:$A$103,0)),0))</f>
        <v>0</v>
      </c>
      <c r="G42" s="12" t="str">
        <f aca="false">IF(A42="","",SUMIFS('Silver Log'!$F$4:$F$1000,'Silver Log'!$B$4:$B$1000,A42))</f>
        <v/>
      </c>
      <c r="H42" s="12" t="str">
        <f aca="false">IF(A42="","",F42+G42)</f>
        <v/>
      </c>
      <c r="I42" s="6"/>
      <c r="J42" s="16"/>
      <c r="K42" s="12" t="str">
        <f aca="false">IF(A42="","",IF(H42&gt;='Reference Tables'!$B$15,"Yes — issue Gold card","-"))</f>
        <v/>
      </c>
    </row>
    <row r="43" customFormat="false" ht="15" hidden="false" customHeight="false" outlineLevel="0" collapsed="false">
      <c r="A43" s="6"/>
      <c r="B43" s="6"/>
      <c r="C43" s="6"/>
      <c r="D43" s="11"/>
      <c r="E43" s="6"/>
      <c r="F43" s="12" t="n">
        <f aca="false">IF(E43="",0,IFERROR(INDEX('Qualifier Registry'!$F$4:$F$103,MATCH(E43,'Qualifier Registry'!$A$4:$A$103,0)),0))</f>
        <v>0</v>
      </c>
      <c r="G43" s="12" t="str">
        <f aca="false">IF(A43="","",SUMIFS('Silver Log'!$F$4:$F$1000,'Silver Log'!$B$4:$B$1000,A43))</f>
        <v/>
      </c>
      <c r="H43" s="12" t="str">
        <f aca="false">IF(A43="","",F43+G43)</f>
        <v/>
      </c>
      <c r="I43" s="6"/>
      <c r="J43" s="16"/>
      <c r="K43" s="12" t="str">
        <f aca="false">IF(A43="","",IF(H43&gt;='Reference Tables'!$B$15,"Yes — issue Gold card","-"))</f>
        <v/>
      </c>
    </row>
    <row r="44" customFormat="false" ht="15" hidden="false" customHeight="false" outlineLevel="0" collapsed="false">
      <c r="A44" s="6"/>
      <c r="B44" s="6"/>
      <c r="C44" s="6"/>
      <c r="D44" s="11"/>
      <c r="E44" s="6"/>
      <c r="F44" s="12" t="n">
        <f aca="false">IF(E44="",0,IFERROR(INDEX('Qualifier Registry'!$F$4:$F$103,MATCH(E44,'Qualifier Registry'!$A$4:$A$103,0)),0))</f>
        <v>0</v>
      </c>
      <c r="G44" s="12" t="str">
        <f aca="false">IF(A44="","",SUMIFS('Silver Log'!$F$4:$F$1000,'Silver Log'!$B$4:$B$1000,A44))</f>
        <v/>
      </c>
      <c r="H44" s="12" t="str">
        <f aca="false">IF(A44="","",F44+G44)</f>
        <v/>
      </c>
      <c r="I44" s="6"/>
      <c r="J44" s="16"/>
      <c r="K44" s="12" t="str">
        <f aca="false">IF(A44="","",IF(H44&gt;='Reference Tables'!$B$15,"Yes — issue Gold card","-"))</f>
        <v/>
      </c>
    </row>
    <row r="45" customFormat="false" ht="15" hidden="false" customHeight="false" outlineLevel="0" collapsed="false">
      <c r="A45" s="6"/>
      <c r="B45" s="6"/>
      <c r="C45" s="6"/>
      <c r="D45" s="11"/>
      <c r="E45" s="6"/>
      <c r="F45" s="12" t="n">
        <f aca="false">IF(E45="",0,IFERROR(INDEX('Qualifier Registry'!$F$4:$F$103,MATCH(E45,'Qualifier Registry'!$A$4:$A$103,0)),0))</f>
        <v>0</v>
      </c>
      <c r="G45" s="12" t="str">
        <f aca="false">IF(A45="","",SUMIFS('Silver Log'!$F$4:$F$1000,'Silver Log'!$B$4:$B$1000,A45))</f>
        <v/>
      </c>
      <c r="H45" s="12" t="str">
        <f aca="false">IF(A45="","",F45+G45)</f>
        <v/>
      </c>
      <c r="I45" s="6"/>
      <c r="J45" s="16"/>
      <c r="K45" s="12" t="str">
        <f aca="false">IF(A45="","",IF(H45&gt;='Reference Tables'!$B$15,"Yes — issue Gold card","-"))</f>
        <v/>
      </c>
    </row>
    <row r="46" customFormat="false" ht="15" hidden="false" customHeight="false" outlineLevel="0" collapsed="false">
      <c r="A46" s="6"/>
      <c r="B46" s="6"/>
      <c r="C46" s="6"/>
      <c r="D46" s="11"/>
      <c r="E46" s="6"/>
      <c r="F46" s="12" t="n">
        <f aca="false">IF(E46="",0,IFERROR(INDEX('Qualifier Registry'!$F$4:$F$103,MATCH(E46,'Qualifier Registry'!$A$4:$A$103,0)),0))</f>
        <v>0</v>
      </c>
      <c r="G46" s="12" t="str">
        <f aca="false">IF(A46="","",SUMIFS('Silver Log'!$F$4:$F$1000,'Silver Log'!$B$4:$B$1000,A46))</f>
        <v/>
      </c>
      <c r="H46" s="12" t="str">
        <f aca="false">IF(A46="","",F46+G46)</f>
        <v/>
      </c>
      <c r="I46" s="6"/>
      <c r="J46" s="16"/>
      <c r="K46" s="12" t="str">
        <f aca="false">IF(A46="","",IF(H46&gt;='Reference Tables'!$B$15,"Yes — issue Gold card","-"))</f>
        <v/>
      </c>
    </row>
    <row r="47" customFormat="false" ht="15" hidden="false" customHeight="false" outlineLevel="0" collapsed="false">
      <c r="A47" s="6"/>
      <c r="B47" s="6"/>
      <c r="C47" s="6"/>
      <c r="D47" s="11"/>
      <c r="E47" s="6"/>
      <c r="F47" s="12" t="n">
        <f aca="false">IF(E47="",0,IFERROR(INDEX('Qualifier Registry'!$F$4:$F$103,MATCH(E47,'Qualifier Registry'!$A$4:$A$103,0)),0))</f>
        <v>0</v>
      </c>
      <c r="G47" s="12" t="str">
        <f aca="false">IF(A47="","",SUMIFS('Silver Log'!$F$4:$F$1000,'Silver Log'!$B$4:$B$1000,A47))</f>
        <v/>
      </c>
      <c r="H47" s="12" t="str">
        <f aca="false">IF(A47="","",F47+G47)</f>
        <v/>
      </c>
      <c r="I47" s="6"/>
      <c r="J47" s="16"/>
      <c r="K47" s="12" t="str">
        <f aca="false">IF(A47="","",IF(H47&gt;='Reference Tables'!$B$15,"Yes — issue Gold card","-"))</f>
        <v/>
      </c>
    </row>
    <row r="48" customFormat="false" ht="15" hidden="false" customHeight="false" outlineLevel="0" collapsed="false">
      <c r="A48" s="6"/>
      <c r="B48" s="6"/>
      <c r="C48" s="6"/>
      <c r="D48" s="11"/>
      <c r="E48" s="6"/>
      <c r="F48" s="12" t="n">
        <f aca="false">IF(E48="",0,IFERROR(INDEX('Qualifier Registry'!$F$4:$F$103,MATCH(E48,'Qualifier Registry'!$A$4:$A$103,0)),0))</f>
        <v>0</v>
      </c>
      <c r="G48" s="12" t="str">
        <f aca="false">IF(A48="","",SUMIFS('Silver Log'!$F$4:$F$1000,'Silver Log'!$B$4:$B$1000,A48))</f>
        <v/>
      </c>
      <c r="H48" s="12" t="str">
        <f aca="false">IF(A48="","",F48+G48)</f>
        <v/>
      </c>
      <c r="I48" s="6"/>
      <c r="J48" s="16"/>
      <c r="K48" s="12" t="str">
        <f aca="false">IF(A48="","",IF(H48&gt;='Reference Tables'!$B$15,"Yes — issue Gold card","-"))</f>
        <v/>
      </c>
    </row>
    <row r="49" customFormat="false" ht="15" hidden="false" customHeight="false" outlineLevel="0" collapsed="false">
      <c r="A49" s="6"/>
      <c r="B49" s="6"/>
      <c r="C49" s="6"/>
      <c r="D49" s="11"/>
      <c r="E49" s="6"/>
      <c r="F49" s="12" t="n">
        <f aca="false">IF(E49="",0,IFERROR(INDEX('Qualifier Registry'!$F$4:$F$103,MATCH(E49,'Qualifier Registry'!$A$4:$A$103,0)),0))</f>
        <v>0</v>
      </c>
      <c r="G49" s="12" t="str">
        <f aca="false">IF(A49="","",SUMIFS('Silver Log'!$F$4:$F$1000,'Silver Log'!$B$4:$B$1000,A49))</f>
        <v/>
      </c>
      <c r="H49" s="12" t="str">
        <f aca="false">IF(A49="","",F49+G49)</f>
        <v/>
      </c>
      <c r="I49" s="6"/>
      <c r="J49" s="16"/>
      <c r="K49" s="12" t="str">
        <f aca="false">IF(A49="","",IF(H49&gt;='Reference Tables'!$B$15,"Yes — issue Gold card","-"))</f>
        <v/>
      </c>
    </row>
    <row r="50" customFormat="false" ht="15" hidden="false" customHeight="false" outlineLevel="0" collapsed="false">
      <c r="A50" s="6"/>
      <c r="B50" s="6"/>
      <c r="C50" s="6"/>
      <c r="D50" s="11"/>
      <c r="E50" s="6"/>
      <c r="F50" s="12" t="n">
        <f aca="false">IF(E50="",0,IFERROR(INDEX('Qualifier Registry'!$F$4:$F$103,MATCH(E50,'Qualifier Registry'!$A$4:$A$103,0)),0))</f>
        <v>0</v>
      </c>
      <c r="G50" s="12" t="str">
        <f aca="false">IF(A50="","",SUMIFS('Silver Log'!$F$4:$F$1000,'Silver Log'!$B$4:$B$1000,A50))</f>
        <v/>
      </c>
      <c r="H50" s="12" t="str">
        <f aca="false">IF(A50="","",F50+G50)</f>
        <v/>
      </c>
      <c r="I50" s="6"/>
      <c r="J50" s="16"/>
      <c r="K50" s="12" t="str">
        <f aca="false">IF(A50="","",IF(H50&gt;='Reference Tables'!$B$15,"Yes — issue Gold card","-"))</f>
        <v/>
      </c>
    </row>
    <row r="51" customFormat="false" ht="15" hidden="false" customHeight="false" outlineLevel="0" collapsed="false">
      <c r="A51" s="6"/>
      <c r="B51" s="6"/>
      <c r="C51" s="6"/>
      <c r="D51" s="11"/>
      <c r="E51" s="6"/>
      <c r="F51" s="12" t="n">
        <f aca="false">IF(E51="",0,IFERROR(INDEX('Qualifier Registry'!$F$4:$F$103,MATCH(E51,'Qualifier Registry'!$A$4:$A$103,0)),0))</f>
        <v>0</v>
      </c>
      <c r="G51" s="12" t="str">
        <f aca="false">IF(A51="","",SUMIFS('Silver Log'!$F$4:$F$1000,'Silver Log'!$B$4:$B$1000,A51))</f>
        <v/>
      </c>
      <c r="H51" s="12" t="str">
        <f aca="false">IF(A51="","",F51+G51)</f>
        <v/>
      </c>
      <c r="I51" s="6"/>
      <c r="J51" s="16"/>
      <c r="K51" s="12" t="str">
        <f aca="false">IF(A51="","",IF(H51&gt;='Reference Tables'!$B$15,"Yes — issue Gold card","-"))</f>
        <v/>
      </c>
    </row>
    <row r="52" customFormat="false" ht="15" hidden="false" customHeight="false" outlineLevel="0" collapsed="false">
      <c r="A52" s="6"/>
      <c r="B52" s="6"/>
      <c r="C52" s="6"/>
      <c r="D52" s="11"/>
      <c r="E52" s="6"/>
      <c r="F52" s="12" t="n">
        <f aca="false">IF(E52="",0,IFERROR(INDEX('Qualifier Registry'!$F$4:$F$103,MATCH(E52,'Qualifier Registry'!$A$4:$A$103,0)),0))</f>
        <v>0</v>
      </c>
      <c r="G52" s="12" t="str">
        <f aca="false">IF(A52="","",SUMIFS('Silver Log'!$F$4:$F$1000,'Silver Log'!$B$4:$B$1000,A52))</f>
        <v/>
      </c>
      <c r="H52" s="12" t="str">
        <f aca="false">IF(A52="","",F52+G52)</f>
        <v/>
      </c>
      <c r="I52" s="6"/>
      <c r="J52" s="16"/>
      <c r="K52" s="12" t="str">
        <f aca="false">IF(A52="","",IF(H52&gt;='Reference Tables'!$B$15,"Yes — issue Gold card","-"))</f>
        <v/>
      </c>
    </row>
    <row r="53" customFormat="false" ht="15" hidden="false" customHeight="false" outlineLevel="0" collapsed="false">
      <c r="A53" s="6"/>
      <c r="B53" s="6"/>
      <c r="C53" s="6"/>
      <c r="D53" s="11"/>
      <c r="E53" s="6"/>
      <c r="F53" s="12" t="n">
        <f aca="false">IF(E53="",0,IFERROR(INDEX('Qualifier Registry'!$F$4:$F$103,MATCH(E53,'Qualifier Registry'!$A$4:$A$103,0)),0))</f>
        <v>0</v>
      </c>
      <c r="G53" s="12" t="str">
        <f aca="false">IF(A53="","",SUMIFS('Silver Log'!$F$4:$F$1000,'Silver Log'!$B$4:$B$1000,A53))</f>
        <v/>
      </c>
      <c r="H53" s="12" t="str">
        <f aca="false">IF(A53="","",F53+G53)</f>
        <v/>
      </c>
      <c r="I53" s="6"/>
      <c r="J53" s="16"/>
      <c r="K53" s="12" t="str">
        <f aca="false">IF(A53="","",IF(H53&gt;='Reference Tables'!$B$15,"Yes — issue Gold card","-"))</f>
        <v/>
      </c>
    </row>
    <row r="54" customFormat="false" ht="15" hidden="false" customHeight="false" outlineLevel="0" collapsed="false">
      <c r="A54" s="6"/>
      <c r="B54" s="6"/>
      <c r="C54" s="6"/>
      <c r="D54" s="11"/>
      <c r="E54" s="6"/>
      <c r="F54" s="12" t="n">
        <f aca="false">IF(E54="",0,IFERROR(INDEX('Qualifier Registry'!$F$4:$F$103,MATCH(E54,'Qualifier Registry'!$A$4:$A$103,0)),0))</f>
        <v>0</v>
      </c>
      <c r="G54" s="12" t="str">
        <f aca="false">IF(A54="","",SUMIFS('Silver Log'!$F$4:$F$1000,'Silver Log'!$B$4:$B$1000,A54))</f>
        <v/>
      </c>
      <c r="H54" s="12" t="str">
        <f aca="false">IF(A54="","",F54+G54)</f>
        <v/>
      </c>
      <c r="I54" s="6"/>
      <c r="J54" s="16"/>
      <c r="K54" s="12" t="str">
        <f aca="false">IF(A54="","",IF(H54&gt;='Reference Tables'!$B$15,"Yes — issue Gold card","-"))</f>
        <v/>
      </c>
    </row>
    <row r="55" customFormat="false" ht="15" hidden="false" customHeight="false" outlineLevel="0" collapsed="false">
      <c r="A55" s="6"/>
      <c r="B55" s="6"/>
      <c r="C55" s="6"/>
      <c r="D55" s="11"/>
      <c r="E55" s="6"/>
      <c r="F55" s="12" t="n">
        <f aca="false">IF(E55="",0,IFERROR(INDEX('Qualifier Registry'!$F$4:$F$103,MATCH(E55,'Qualifier Registry'!$A$4:$A$103,0)),0))</f>
        <v>0</v>
      </c>
      <c r="G55" s="12" t="str">
        <f aca="false">IF(A55="","",SUMIFS('Silver Log'!$F$4:$F$1000,'Silver Log'!$B$4:$B$1000,A55))</f>
        <v/>
      </c>
      <c r="H55" s="12" t="str">
        <f aca="false">IF(A55="","",F55+G55)</f>
        <v/>
      </c>
      <c r="I55" s="6"/>
      <c r="J55" s="16"/>
      <c r="K55" s="12" t="str">
        <f aca="false">IF(A55="","",IF(H55&gt;='Reference Tables'!$B$15,"Yes — issue Gold card","-"))</f>
        <v/>
      </c>
    </row>
    <row r="56" customFormat="false" ht="15" hidden="false" customHeight="false" outlineLevel="0" collapsed="false">
      <c r="A56" s="6"/>
      <c r="B56" s="6"/>
      <c r="C56" s="6"/>
      <c r="D56" s="11"/>
      <c r="E56" s="6"/>
      <c r="F56" s="12" t="n">
        <f aca="false">IF(E56="",0,IFERROR(INDEX('Qualifier Registry'!$F$4:$F$103,MATCH(E56,'Qualifier Registry'!$A$4:$A$103,0)),0))</f>
        <v>0</v>
      </c>
      <c r="G56" s="12" t="str">
        <f aca="false">IF(A56="","",SUMIFS('Silver Log'!$F$4:$F$1000,'Silver Log'!$B$4:$B$1000,A56))</f>
        <v/>
      </c>
      <c r="H56" s="12" t="str">
        <f aca="false">IF(A56="","",F56+G56)</f>
        <v/>
      </c>
      <c r="I56" s="6"/>
      <c r="J56" s="16"/>
      <c r="K56" s="12" t="str">
        <f aca="false">IF(A56="","",IF(H56&gt;='Reference Tables'!$B$15,"Yes — issue Gold card","-"))</f>
        <v/>
      </c>
    </row>
    <row r="57" customFormat="false" ht="15" hidden="false" customHeight="false" outlineLevel="0" collapsed="false">
      <c r="A57" s="6"/>
      <c r="B57" s="6"/>
      <c r="C57" s="6"/>
      <c r="D57" s="11"/>
      <c r="E57" s="6"/>
      <c r="F57" s="12" t="n">
        <f aca="false">IF(E57="",0,IFERROR(INDEX('Qualifier Registry'!$F$4:$F$103,MATCH(E57,'Qualifier Registry'!$A$4:$A$103,0)),0))</f>
        <v>0</v>
      </c>
      <c r="G57" s="12" t="str">
        <f aca="false">IF(A57="","",SUMIFS('Silver Log'!$F$4:$F$1000,'Silver Log'!$B$4:$B$1000,A57))</f>
        <v/>
      </c>
      <c r="H57" s="12" t="str">
        <f aca="false">IF(A57="","",F57+G57)</f>
        <v/>
      </c>
      <c r="I57" s="6"/>
      <c r="J57" s="16"/>
      <c r="K57" s="12" t="str">
        <f aca="false">IF(A57="","",IF(H57&gt;='Reference Tables'!$B$15,"Yes — issue Gold card","-"))</f>
        <v/>
      </c>
    </row>
    <row r="58" customFormat="false" ht="15" hidden="false" customHeight="false" outlineLevel="0" collapsed="false">
      <c r="A58" s="6"/>
      <c r="B58" s="6"/>
      <c r="C58" s="6"/>
      <c r="D58" s="11"/>
      <c r="E58" s="6"/>
      <c r="F58" s="12" t="n">
        <f aca="false">IF(E58="",0,IFERROR(INDEX('Qualifier Registry'!$F$4:$F$103,MATCH(E58,'Qualifier Registry'!$A$4:$A$103,0)),0))</f>
        <v>0</v>
      </c>
      <c r="G58" s="12" t="str">
        <f aca="false">IF(A58="","",SUMIFS('Silver Log'!$F$4:$F$1000,'Silver Log'!$B$4:$B$1000,A58))</f>
        <v/>
      </c>
      <c r="H58" s="12" t="str">
        <f aca="false">IF(A58="","",F58+G58)</f>
        <v/>
      </c>
      <c r="I58" s="6"/>
      <c r="J58" s="16"/>
      <c r="K58" s="12" t="str">
        <f aca="false">IF(A58="","",IF(H58&gt;='Reference Tables'!$B$15,"Yes — issue Gold card","-"))</f>
        <v/>
      </c>
    </row>
    <row r="59" customFormat="false" ht="15" hidden="false" customHeight="false" outlineLevel="0" collapsed="false">
      <c r="A59" s="6"/>
      <c r="B59" s="6"/>
      <c r="C59" s="6"/>
      <c r="D59" s="11"/>
      <c r="E59" s="6"/>
      <c r="F59" s="12" t="n">
        <f aca="false">IF(E59="",0,IFERROR(INDEX('Qualifier Registry'!$F$4:$F$103,MATCH(E59,'Qualifier Registry'!$A$4:$A$103,0)),0))</f>
        <v>0</v>
      </c>
      <c r="G59" s="12" t="str">
        <f aca="false">IF(A59="","",SUMIFS('Silver Log'!$F$4:$F$1000,'Silver Log'!$B$4:$B$1000,A59))</f>
        <v/>
      </c>
      <c r="H59" s="12" t="str">
        <f aca="false">IF(A59="","",F59+G59)</f>
        <v/>
      </c>
      <c r="I59" s="6"/>
      <c r="J59" s="16"/>
      <c r="K59" s="12" t="str">
        <f aca="false">IF(A59="","",IF(H59&gt;='Reference Tables'!$B$15,"Yes — issue Gold card","-"))</f>
        <v/>
      </c>
    </row>
    <row r="60" customFormat="false" ht="15" hidden="false" customHeight="false" outlineLevel="0" collapsed="false">
      <c r="A60" s="6"/>
      <c r="B60" s="6"/>
      <c r="C60" s="6"/>
      <c r="D60" s="11"/>
      <c r="E60" s="6"/>
      <c r="F60" s="12" t="n">
        <f aca="false">IF(E60="",0,IFERROR(INDEX('Qualifier Registry'!$F$4:$F$103,MATCH(E60,'Qualifier Registry'!$A$4:$A$103,0)),0))</f>
        <v>0</v>
      </c>
      <c r="G60" s="12" t="str">
        <f aca="false">IF(A60="","",SUMIFS('Silver Log'!$F$4:$F$1000,'Silver Log'!$B$4:$B$1000,A60))</f>
        <v/>
      </c>
      <c r="H60" s="12" t="str">
        <f aca="false">IF(A60="","",F60+G60)</f>
        <v/>
      </c>
      <c r="I60" s="6"/>
      <c r="J60" s="16"/>
      <c r="K60" s="12" t="str">
        <f aca="false">IF(A60="","",IF(H60&gt;='Reference Tables'!$B$15,"Yes — issue Gold card","-"))</f>
        <v/>
      </c>
    </row>
    <row r="61" customFormat="false" ht="15" hidden="false" customHeight="false" outlineLevel="0" collapsed="false">
      <c r="A61" s="6"/>
      <c r="B61" s="6"/>
      <c r="C61" s="6"/>
      <c r="D61" s="11"/>
      <c r="E61" s="6"/>
      <c r="F61" s="12" t="n">
        <f aca="false">IF(E61="",0,IFERROR(INDEX('Qualifier Registry'!$F$4:$F$103,MATCH(E61,'Qualifier Registry'!$A$4:$A$103,0)),0))</f>
        <v>0</v>
      </c>
      <c r="G61" s="12" t="str">
        <f aca="false">IF(A61="","",SUMIFS('Silver Log'!$F$4:$F$1000,'Silver Log'!$B$4:$B$1000,A61))</f>
        <v/>
      </c>
      <c r="H61" s="12" t="str">
        <f aca="false">IF(A61="","",F61+G61)</f>
        <v/>
      </c>
      <c r="I61" s="6"/>
      <c r="J61" s="16"/>
      <c r="K61" s="12" t="str">
        <f aca="false">IF(A61="","",IF(H61&gt;='Reference Tables'!$B$15,"Yes — issue Gold card","-"))</f>
        <v/>
      </c>
    </row>
    <row r="62" customFormat="false" ht="15" hidden="false" customHeight="false" outlineLevel="0" collapsed="false">
      <c r="A62" s="6"/>
      <c r="B62" s="6"/>
      <c r="C62" s="6"/>
      <c r="D62" s="11"/>
      <c r="E62" s="6"/>
      <c r="F62" s="12" t="n">
        <f aca="false">IF(E62="",0,IFERROR(INDEX('Qualifier Registry'!$F$4:$F$103,MATCH(E62,'Qualifier Registry'!$A$4:$A$103,0)),0))</f>
        <v>0</v>
      </c>
      <c r="G62" s="12" t="str">
        <f aca="false">IF(A62="","",SUMIFS('Silver Log'!$F$4:$F$1000,'Silver Log'!$B$4:$B$1000,A62))</f>
        <v/>
      </c>
      <c r="H62" s="12" t="str">
        <f aca="false">IF(A62="","",F62+G62)</f>
        <v/>
      </c>
      <c r="I62" s="6"/>
      <c r="J62" s="16"/>
      <c r="K62" s="12" t="str">
        <f aca="false">IF(A62="","",IF(H62&gt;='Reference Tables'!$B$15,"Yes — issue Gold card","-"))</f>
        <v/>
      </c>
    </row>
    <row r="63" customFormat="false" ht="15" hidden="false" customHeight="false" outlineLevel="0" collapsed="false">
      <c r="A63" s="6"/>
      <c r="B63" s="6"/>
      <c r="C63" s="6"/>
      <c r="D63" s="11"/>
      <c r="E63" s="6"/>
      <c r="F63" s="12" t="n">
        <f aca="false">IF(E63="",0,IFERROR(INDEX('Qualifier Registry'!$F$4:$F$103,MATCH(E63,'Qualifier Registry'!$A$4:$A$103,0)),0))</f>
        <v>0</v>
      </c>
      <c r="G63" s="12" t="str">
        <f aca="false">IF(A63="","",SUMIFS('Silver Log'!$F$4:$F$1000,'Silver Log'!$B$4:$B$1000,A63))</f>
        <v/>
      </c>
      <c r="H63" s="12" t="str">
        <f aca="false">IF(A63="","",F63+G63)</f>
        <v/>
      </c>
      <c r="I63" s="6"/>
      <c r="J63" s="16"/>
      <c r="K63" s="12" t="str">
        <f aca="false">IF(A63="","",IF(H63&gt;='Reference Tables'!$B$15,"Yes — issue Gold card","-"))</f>
        <v/>
      </c>
    </row>
    <row r="64" customFormat="false" ht="15" hidden="false" customHeight="false" outlineLevel="0" collapsed="false">
      <c r="A64" s="6"/>
      <c r="B64" s="6"/>
      <c r="C64" s="6"/>
      <c r="D64" s="11"/>
      <c r="E64" s="6"/>
      <c r="F64" s="12" t="n">
        <f aca="false">IF(E64="",0,IFERROR(INDEX('Qualifier Registry'!$F$4:$F$103,MATCH(E64,'Qualifier Registry'!$A$4:$A$103,0)),0))</f>
        <v>0</v>
      </c>
      <c r="G64" s="12" t="str">
        <f aca="false">IF(A64="","",SUMIFS('Silver Log'!$F$4:$F$1000,'Silver Log'!$B$4:$B$1000,A64))</f>
        <v/>
      </c>
      <c r="H64" s="12" t="str">
        <f aca="false">IF(A64="","",F64+G64)</f>
        <v/>
      </c>
      <c r="I64" s="6"/>
      <c r="J64" s="16"/>
      <c r="K64" s="12" t="str">
        <f aca="false">IF(A64="","",IF(H64&gt;='Reference Tables'!$B$15,"Yes — issue Gold card","-"))</f>
        <v/>
      </c>
    </row>
    <row r="65" customFormat="false" ht="15" hidden="false" customHeight="false" outlineLevel="0" collapsed="false">
      <c r="A65" s="6"/>
      <c r="B65" s="6"/>
      <c r="C65" s="6"/>
      <c r="D65" s="11"/>
      <c r="E65" s="6"/>
      <c r="F65" s="12" t="n">
        <f aca="false">IF(E65="",0,IFERROR(INDEX('Qualifier Registry'!$F$4:$F$103,MATCH(E65,'Qualifier Registry'!$A$4:$A$103,0)),0))</f>
        <v>0</v>
      </c>
      <c r="G65" s="12" t="str">
        <f aca="false">IF(A65="","",SUMIFS('Silver Log'!$F$4:$F$1000,'Silver Log'!$B$4:$B$1000,A65))</f>
        <v/>
      </c>
      <c r="H65" s="12" t="str">
        <f aca="false">IF(A65="","",F65+G65)</f>
        <v/>
      </c>
      <c r="I65" s="6"/>
      <c r="J65" s="16"/>
      <c r="K65" s="12" t="str">
        <f aca="false">IF(A65="","",IF(H65&gt;='Reference Tables'!$B$15,"Yes — issue Gold card","-"))</f>
        <v/>
      </c>
    </row>
    <row r="66" customFormat="false" ht="15" hidden="false" customHeight="false" outlineLevel="0" collapsed="false">
      <c r="A66" s="6"/>
      <c r="B66" s="6"/>
      <c r="C66" s="6"/>
      <c r="D66" s="11"/>
      <c r="E66" s="6"/>
      <c r="F66" s="12" t="n">
        <f aca="false">IF(E66="",0,IFERROR(INDEX('Qualifier Registry'!$F$4:$F$103,MATCH(E66,'Qualifier Registry'!$A$4:$A$103,0)),0))</f>
        <v>0</v>
      </c>
      <c r="G66" s="12" t="str">
        <f aca="false">IF(A66="","",SUMIFS('Silver Log'!$F$4:$F$1000,'Silver Log'!$B$4:$B$1000,A66))</f>
        <v/>
      </c>
      <c r="H66" s="12" t="str">
        <f aca="false">IF(A66="","",F66+G66)</f>
        <v/>
      </c>
      <c r="I66" s="6"/>
      <c r="J66" s="16"/>
      <c r="K66" s="12" t="str">
        <f aca="false">IF(A66="","",IF(H66&gt;='Reference Tables'!$B$15,"Yes — issue Gold card","-"))</f>
        <v/>
      </c>
    </row>
    <row r="67" customFormat="false" ht="15" hidden="false" customHeight="false" outlineLevel="0" collapsed="false">
      <c r="A67" s="6"/>
      <c r="B67" s="6"/>
      <c r="C67" s="6"/>
      <c r="D67" s="11"/>
      <c r="E67" s="6"/>
      <c r="F67" s="12" t="n">
        <f aca="false">IF(E67="",0,IFERROR(INDEX('Qualifier Registry'!$F$4:$F$103,MATCH(E67,'Qualifier Registry'!$A$4:$A$103,0)),0))</f>
        <v>0</v>
      </c>
      <c r="G67" s="12" t="str">
        <f aca="false">IF(A67="","",SUMIFS('Silver Log'!$F$4:$F$1000,'Silver Log'!$B$4:$B$1000,A67))</f>
        <v/>
      </c>
      <c r="H67" s="12" t="str">
        <f aca="false">IF(A67="","",F67+G67)</f>
        <v/>
      </c>
      <c r="I67" s="6"/>
      <c r="J67" s="16"/>
      <c r="K67" s="12" t="str">
        <f aca="false">IF(A67="","",IF(H67&gt;='Reference Tables'!$B$15,"Yes — issue Gold card","-"))</f>
        <v/>
      </c>
    </row>
    <row r="68" customFormat="false" ht="15" hidden="false" customHeight="false" outlineLevel="0" collapsed="false">
      <c r="A68" s="6"/>
      <c r="B68" s="6"/>
      <c r="C68" s="6"/>
      <c r="D68" s="11"/>
      <c r="E68" s="6"/>
      <c r="F68" s="12" t="n">
        <f aca="false">IF(E68="",0,IFERROR(INDEX('Qualifier Registry'!$F$4:$F$103,MATCH(E68,'Qualifier Registry'!$A$4:$A$103,0)),0))</f>
        <v>0</v>
      </c>
      <c r="G68" s="12" t="str">
        <f aca="false">IF(A68="","",SUMIFS('Silver Log'!$F$4:$F$1000,'Silver Log'!$B$4:$B$1000,A68))</f>
        <v/>
      </c>
      <c r="H68" s="12" t="str">
        <f aca="false">IF(A68="","",F68+G68)</f>
        <v/>
      </c>
      <c r="I68" s="6"/>
      <c r="J68" s="16"/>
      <c r="K68" s="12" t="str">
        <f aca="false">IF(A68="","",IF(H68&gt;='Reference Tables'!$B$15,"Yes — issue Gold card","-"))</f>
        <v/>
      </c>
    </row>
    <row r="69" customFormat="false" ht="15" hidden="false" customHeight="false" outlineLevel="0" collapsed="false">
      <c r="A69" s="6"/>
      <c r="B69" s="6"/>
      <c r="C69" s="6"/>
      <c r="D69" s="11"/>
      <c r="E69" s="6"/>
      <c r="F69" s="12" t="n">
        <f aca="false">IF(E69="",0,IFERROR(INDEX('Qualifier Registry'!$F$4:$F$103,MATCH(E69,'Qualifier Registry'!$A$4:$A$103,0)),0))</f>
        <v>0</v>
      </c>
      <c r="G69" s="12" t="str">
        <f aca="false">IF(A69="","",SUMIFS('Silver Log'!$F$4:$F$1000,'Silver Log'!$B$4:$B$1000,A69))</f>
        <v/>
      </c>
      <c r="H69" s="12" t="str">
        <f aca="false">IF(A69="","",F69+G69)</f>
        <v/>
      </c>
      <c r="I69" s="6"/>
      <c r="J69" s="16"/>
      <c r="K69" s="12" t="str">
        <f aca="false">IF(A69="","",IF(H69&gt;='Reference Tables'!$B$15,"Yes — issue Gold card","-"))</f>
        <v/>
      </c>
    </row>
    <row r="70" customFormat="false" ht="15" hidden="false" customHeight="false" outlineLevel="0" collapsed="false">
      <c r="A70" s="6"/>
      <c r="B70" s="6"/>
      <c r="C70" s="6"/>
      <c r="D70" s="11"/>
      <c r="E70" s="6"/>
      <c r="F70" s="12" t="n">
        <f aca="false">IF(E70="",0,IFERROR(INDEX('Qualifier Registry'!$F$4:$F$103,MATCH(E70,'Qualifier Registry'!$A$4:$A$103,0)),0))</f>
        <v>0</v>
      </c>
      <c r="G70" s="12" t="str">
        <f aca="false">IF(A70="","",SUMIFS('Silver Log'!$F$4:$F$1000,'Silver Log'!$B$4:$B$1000,A70))</f>
        <v/>
      </c>
      <c r="H70" s="12" t="str">
        <f aca="false">IF(A70="","",F70+G70)</f>
        <v/>
      </c>
      <c r="I70" s="6"/>
      <c r="J70" s="16"/>
      <c r="K70" s="12" t="str">
        <f aca="false">IF(A70="","",IF(H70&gt;='Reference Tables'!$B$15,"Yes — issue Gold card","-"))</f>
        <v/>
      </c>
    </row>
    <row r="71" customFormat="false" ht="15" hidden="false" customHeight="false" outlineLevel="0" collapsed="false">
      <c r="A71" s="6"/>
      <c r="B71" s="6"/>
      <c r="C71" s="6"/>
      <c r="D71" s="11"/>
      <c r="E71" s="6"/>
      <c r="F71" s="12" t="n">
        <f aca="false">IF(E71="",0,IFERROR(INDEX('Qualifier Registry'!$F$4:$F$103,MATCH(E71,'Qualifier Registry'!$A$4:$A$103,0)),0))</f>
        <v>0</v>
      </c>
      <c r="G71" s="12" t="str">
        <f aca="false">IF(A71="","",SUMIFS('Silver Log'!$F$4:$F$1000,'Silver Log'!$B$4:$B$1000,A71))</f>
        <v/>
      </c>
      <c r="H71" s="12" t="str">
        <f aca="false">IF(A71="","",F71+G71)</f>
        <v/>
      </c>
      <c r="I71" s="6"/>
      <c r="J71" s="16"/>
      <c r="K71" s="12" t="str">
        <f aca="false">IF(A71="","",IF(H71&gt;='Reference Tables'!$B$15,"Yes — issue Gold card","-"))</f>
        <v/>
      </c>
    </row>
    <row r="72" customFormat="false" ht="15" hidden="false" customHeight="false" outlineLevel="0" collapsed="false">
      <c r="A72" s="6"/>
      <c r="B72" s="6"/>
      <c r="C72" s="6"/>
      <c r="D72" s="11"/>
      <c r="E72" s="6"/>
      <c r="F72" s="12" t="n">
        <f aca="false">IF(E72="",0,IFERROR(INDEX('Qualifier Registry'!$F$4:$F$103,MATCH(E72,'Qualifier Registry'!$A$4:$A$103,0)),0))</f>
        <v>0</v>
      </c>
      <c r="G72" s="12" t="str">
        <f aca="false">IF(A72="","",SUMIFS('Silver Log'!$F$4:$F$1000,'Silver Log'!$B$4:$B$1000,A72))</f>
        <v/>
      </c>
      <c r="H72" s="12" t="str">
        <f aca="false">IF(A72="","",F72+G72)</f>
        <v/>
      </c>
      <c r="I72" s="6"/>
      <c r="J72" s="16"/>
      <c r="K72" s="12" t="str">
        <f aca="false">IF(A72="","",IF(H72&gt;='Reference Tables'!$B$15,"Yes — issue Gold card","-"))</f>
        <v/>
      </c>
    </row>
    <row r="73" customFormat="false" ht="15" hidden="false" customHeight="false" outlineLevel="0" collapsed="false">
      <c r="A73" s="6"/>
      <c r="B73" s="6"/>
      <c r="C73" s="6"/>
      <c r="D73" s="11"/>
      <c r="E73" s="6"/>
      <c r="F73" s="12" t="n">
        <f aca="false">IF(E73="",0,IFERROR(INDEX('Qualifier Registry'!$F$4:$F$103,MATCH(E73,'Qualifier Registry'!$A$4:$A$103,0)),0))</f>
        <v>0</v>
      </c>
      <c r="G73" s="12" t="str">
        <f aca="false">IF(A73="","",SUMIFS('Silver Log'!$F$4:$F$1000,'Silver Log'!$B$4:$B$1000,A73))</f>
        <v/>
      </c>
      <c r="H73" s="12" t="str">
        <f aca="false">IF(A73="","",F73+G73)</f>
        <v/>
      </c>
      <c r="I73" s="6"/>
      <c r="J73" s="16"/>
      <c r="K73" s="12" t="str">
        <f aca="false">IF(A73="","",IF(H73&gt;='Reference Tables'!$B$15,"Yes — issue Gold card","-"))</f>
        <v/>
      </c>
    </row>
    <row r="74" customFormat="false" ht="15" hidden="false" customHeight="false" outlineLevel="0" collapsed="false">
      <c r="A74" s="6"/>
      <c r="B74" s="6"/>
      <c r="C74" s="6"/>
      <c r="D74" s="11"/>
      <c r="E74" s="6"/>
      <c r="F74" s="12" t="n">
        <f aca="false">IF(E74="",0,IFERROR(INDEX('Qualifier Registry'!$F$4:$F$103,MATCH(E74,'Qualifier Registry'!$A$4:$A$103,0)),0))</f>
        <v>0</v>
      </c>
      <c r="G74" s="12" t="str">
        <f aca="false">IF(A74="","",SUMIFS('Silver Log'!$F$4:$F$1000,'Silver Log'!$B$4:$B$1000,A74))</f>
        <v/>
      </c>
      <c r="H74" s="12" t="str">
        <f aca="false">IF(A74="","",F74+G74)</f>
        <v/>
      </c>
      <c r="I74" s="6"/>
      <c r="J74" s="16"/>
      <c r="K74" s="12" t="str">
        <f aca="false">IF(A74="","",IF(H74&gt;='Reference Tables'!$B$15,"Yes — issue Gold card","-"))</f>
        <v/>
      </c>
    </row>
    <row r="75" customFormat="false" ht="15" hidden="false" customHeight="false" outlineLevel="0" collapsed="false">
      <c r="A75" s="6"/>
      <c r="B75" s="6"/>
      <c r="C75" s="6"/>
      <c r="D75" s="11"/>
      <c r="E75" s="6"/>
      <c r="F75" s="12" t="n">
        <f aca="false">IF(E75="",0,IFERROR(INDEX('Qualifier Registry'!$F$4:$F$103,MATCH(E75,'Qualifier Registry'!$A$4:$A$103,0)),0))</f>
        <v>0</v>
      </c>
      <c r="G75" s="12" t="str">
        <f aca="false">IF(A75="","",SUMIFS('Silver Log'!$F$4:$F$1000,'Silver Log'!$B$4:$B$1000,A75))</f>
        <v/>
      </c>
      <c r="H75" s="12" t="str">
        <f aca="false">IF(A75="","",F75+G75)</f>
        <v/>
      </c>
      <c r="I75" s="6"/>
      <c r="J75" s="16"/>
      <c r="K75" s="12" t="str">
        <f aca="false">IF(A75="","",IF(H75&gt;='Reference Tables'!$B$15,"Yes — issue Gold card","-"))</f>
        <v/>
      </c>
    </row>
    <row r="76" customFormat="false" ht="15" hidden="false" customHeight="false" outlineLevel="0" collapsed="false">
      <c r="A76" s="6"/>
      <c r="B76" s="6"/>
      <c r="C76" s="6"/>
      <c r="D76" s="11"/>
      <c r="E76" s="6"/>
      <c r="F76" s="12" t="n">
        <f aca="false">IF(E76="",0,IFERROR(INDEX('Qualifier Registry'!$F$4:$F$103,MATCH(E76,'Qualifier Registry'!$A$4:$A$103,0)),0))</f>
        <v>0</v>
      </c>
      <c r="G76" s="12" t="str">
        <f aca="false">IF(A76="","",SUMIFS('Silver Log'!$F$4:$F$1000,'Silver Log'!$B$4:$B$1000,A76))</f>
        <v/>
      </c>
      <c r="H76" s="12" t="str">
        <f aca="false">IF(A76="","",F76+G76)</f>
        <v/>
      </c>
      <c r="I76" s="6"/>
      <c r="J76" s="16"/>
      <c r="K76" s="12" t="str">
        <f aca="false">IF(A76="","",IF(H76&gt;='Reference Tables'!$B$15,"Yes — issue Gold card","-"))</f>
        <v/>
      </c>
    </row>
    <row r="77" customFormat="false" ht="15" hidden="false" customHeight="false" outlineLevel="0" collapsed="false">
      <c r="A77" s="6"/>
      <c r="B77" s="6"/>
      <c r="C77" s="6"/>
      <c r="D77" s="11"/>
      <c r="E77" s="6"/>
      <c r="F77" s="12" t="n">
        <f aca="false">IF(E77="",0,IFERROR(INDEX('Qualifier Registry'!$F$4:$F$103,MATCH(E77,'Qualifier Registry'!$A$4:$A$103,0)),0))</f>
        <v>0</v>
      </c>
      <c r="G77" s="12" t="str">
        <f aca="false">IF(A77="","",SUMIFS('Silver Log'!$F$4:$F$1000,'Silver Log'!$B$4:$B$1000,A77))</f>
        <v/>
      </c>
      <c r="H77" s="12" t="str">
        <f aca="false">IF(A77="","",F77+G77)</f>
        <v/>
      </c>
      <c r="I77" s="6"/>
      <c r="J77" s="16"/>
      <c r="K77" s="12" t="str">
        <f aca="false">IF(A77="","",IF(H77&gt;='Reference Tables'!$B$15,"Yes — issue Gold card","-"))</f>
        <v/>
      </c>
    </row>
    <row r="78" customFormat="false" ht="15" hidden="false" customHeight="false" outlineLevel="0" collapsed="false">
      <c r="A78" s="6"/>
      <c r="B78" s="6"/>
      <c r="C78" s="6"/>
      <c r="D78" s="11"/>
      <c r="E78" s="6"/>
      <c r="F78" s="12" t="n">
        <f aca="false">IF(E78="",0,IFERROR(INDEX('Qualifier Registry'!$F$4:$F$103,MATCH(E78,'Qualifier Registry'!$A$4:$A$103,0)),0))</f>
        <v>0</v>
      </c>
      <c r="G78" s="12" t="str">
        <f aca="false">IF(A78="","",SUMIFS('Silver Log'!$F$4:$F$1000,'Silver Log'!$B$4:$B$1000,A78))</f>
        <v/>
      </c>
      <c r="H78" s="12" t="str">
        <f aca="false">IF(A78="","",F78+G78)</f>
        <v/>
      </c>
      <c r="I78" s="6"/>
      <c r="J78" s="16"/>
      <c r="K78" s="12" t="str">
        <f aca="false">IF(A78="","",IF(H78&gt;='Reference Tables'!$B$15,"Yes — issue Gold card","-"))</f>
        <v/>
      </c>
    </row>
    <row r="79" customFormat="false" ht="15" hidden="false" customHeight="false" outlineLevel="0" collapsed="false">
      <c r="A79" s="6"/>
      <c r="B79" s="6"/>
      <c r="C79" s="6"/>
      <c r="D79" s="11"/>
      <c r="E79" s="6"/>
      <c r="F79" s="12" t="n">
        <f aca="false">IF(E79="",0,IFERROR(INDEX('Qualifier Registry'!$F$4:$F$103,MATCH(E79,'Qualifier Registry'!$A$4:$A$103,0)),0))</f>
        <v>0</v>
      </c>
      <c r="G79" s="12" t="str">
        <f aca="false">IF(A79="","",SUMIFS('Silver Log'!$F$4:$F$1000,'Silver Log'!$B$4:$B$1000,A79))</f>
        <v/>
      </c>
      <c r="H79" s="12" t="str">
        <f aca="false">IF(A79="","",F79+G79)</f>
        <v/>
      </c>
      <c r="I79" s="6"/>
      <c r="J79" s="16"/>
      <c r="K79" s="12" t="str">
        <f aca="false">IF(A79="","",IF(H79&gt;='Reference Tables'!$B$15,"Yes — issue Gold card","-"))</f>
        <v/>
      </c>
    </row>
    <row r="80" customFormat="false" ht="15" hidden="false" customHeight="false" outlineLevel="0" collapsed="false">
      <c r="A80" s="6"/>
      <c r="B80" s="6"/>
      <c r="C80" s="6"/>
      <c r="D80" s="11"/>
      <c r="E80" s="6"/>
      <c r="F80" s="12" t="n">
        <f aca="false">IF(E80="",0,IFERROR(INDEX('Qualifier Registry'!$F$4:$F$103,MATCH(E80,'Qualifier Registry'!$A$4:$A$103,0)),0))</f>
        <v>0</v>
      </c>
      <c r="G80" s="12" t="str">
        <f aca="false">IF(A80="","",SUMIFS('Silver Log'!$F$4:$F$1000,'Silver Log'!$B$4:$B$1000,A80))</f>
        <v/>
      </c>
      <c r="H80" s="12" t="str">
        <f aca="false">IF(A80="","",F80+G80)</f>
        <v/>
      </c>
      <c r="I80" s="6"/>
      <c r="J80" s="16"/>
      <c r="K80" s="12" t="str">
        <f aca="false">IF(A80="","",IF(H80&gt;='Reference Tables'!$B$15,"Yes — issue Gold card","-"))</f>
        <v/>
      </c>
    </row>
    <row r="81" customFormat="false" ht="15" hidden="false" customHeight="false" outlineLevel="0" collapsed="false">
      <c r="A81" s="6"/>
      <c r="B81" s="6"/>
      <c r="C81" s="6"/>
      <c r="D81" s="11"/>
      <c r="E81" s="6"/>
      <c r="F81" s="12" t="n">
        <f aca="false">IF(E81="",0,IFERROR(INDEX('Qualifier Registry'!$F$4:$F$103,MATCH(E81,'Qualifier Registry'!$A$4:$A$103,0)),0))</f>
        <v>0</v>
      </c>
      <c r="G81" s="12" t="str">
        <f aca="false">IF(A81="","",SUMIFS('Silver Log'!$F$4:$F$1000,'Silver Log'!$B$4:$B$1000,A81))</f>
        <v/>
      </c>
      <c r="H81" s="12" t="str">
        <f aca="false">IF(A81="","",F81+G81)</f>
        <v/>
      </c>
      <c r="I81" s="6"/>
      <c r="J81" s="16"/>
      <c r="K81" s="12" t="str">
        <f aca="false">IF(A81="","",IF(H81&gt;='Reference Tables'!$B$15,"Yes — issue Gold card","-"))</f>
        <v/>
      </c>
    </row>
    <row r="82" customFormat="false" ht="15" hidden="false" customHeight="false" outlineLevel="0" collapsed="false">
      <c r="A82" s="6"/>
      <c r="B82" s="6"/>
      <c r="C82" s="6"/>
      <c r="D82" s="11"/>
      <c r="E82" s="6"/>
      <c r="F82" s="12" t="n">
        <f aca="false">IF(E82="",0,IFERROR(INDEX('Qualifier Registry'!$F$4:$F$103,MATCH(E82,'Qualifier Registry'!$A$4:$A$103,0)),0))</f>
        <v>0</v>
      </c>
      <c r="G82" s="12" t="str">
        <f aca="false">IF(A82="","",SUMIFS('Silver Log'!$F$4:$F$1000,'Silver Log'!$B$4:$B$1000,A82))</f>
        <v/>
      </c>
      <c r="H82" s="12" t="str">
        <f aca="false">IF(A82="","",F82+G82)</f>
        <v/>
      </c>
      <c r="I82" s="6"/>
      <c r="J82" s="16"/>
      <c r="K82" s="12" t="str">
        <f aca="false">IF(A82="","",IF(H82&gt;='Reference Tables'!$B$15,"Yes — issue Gold card","-"))</f>
        <v/>
      </c>
    </row>
    <row r="83" customFormat="false" ht="15" hidden="false" customHeight="false" outlineLevel="0" collapsed="false">
      <c r="A83" s="6"/>
      <c r="B83" s="6"/>
      <c r="C83" s="6"/>
      <c r="D83" s="11"/>
      <c r="E83" s="6"/>
      <c r="F83" s="12" t="n">
        <f aca="false">IF(E83="",0,IFERROR(INDEX('Qualifier Registry'!$F$4:$F$103,MATCH(E83,'Qualifier Registry'!$A$4:$A$103,0)),0))</f>
        <v>0</v>
      </c>
      <c r="G83" s="12" t="str">
        <f aca="false">IF(A83="","",SUMIFS('Silver Log'!$F$4:$F$1000,'Silver Log'!$B$4:$B$1000,A83))</f>
        <v/>
      </c>
      <c r="H83" s="12" t="str">
        <f aca="false">IF(A83="","",F83+G83)</f>
        <v/>
      </c>
      <c r="I83" s="6"/>
      <c r="J83" s="16"/>
      <c r="K83" s="12" t="str">
        <f aca="false">IF(A83="","",IF(H83&gt;='Reference Tables'!$B$15,"Yes — issue Gold card","-"))</f>
        <v/>
      </c>
    </row>
    <row r="84" customFormat="false" ht="15" hidden="false" customHeight="false" outlineLevel="0" collapsed="false">
      <c r="A84" s="6"/>
      <c r="B84" s="6"/>
      <c r="C84" s="6"/>
      <c r="D84" s="11"/>
      <c r="E84" s="6"/>
      <c r="F84" s="12" t="n">
        <f aca="false">IF(E84="",0,IFERROR(INDEX('Qualifier Registry'!$F$4:$F$103,MATCH(E84,'Qualifier Registry'!$A$4:$A$103,0)),0))</f>
        <v>0</v>
      </c>
      <c r="G84" s="12" t="str">
        <f aca="false">IF(A84="","",SUMIFS('Silver Log'!$F$4:$F$1000,'Silver Log'!$B$4:$B$1000,A84))</f>
        <v/>
      </c>
      <c r="H84" s="12" t="str">
        <f aca="false">IF(A84="","",F84+G84)</f>
        <v/>
      </c>
      <c r="I84" s="6"/>
      <c r="J84" s="16"/>
      <c r="K84" s="12" t="str">
        <f aca="false">IF(A84="","",IF(H84&gt;='Reference Tables'!$B$15,"Yes — issue Gold card","-"))</f>
        <v/>
      </c>
    </row>
    <row r="85" customFormat="false" ht="15" hidden="false" customHeight="false" outlineLevel="0" collapsed="false">
      <c r="A85" s="6"/>
      <c r="B85" s="6"/>
      <c r="C85" s="6"/>
      <c r="D85" s="11"/>
      <c r="E85" s="6"/>
      <c r="F85" s="12" t="n">
        <f aca="false">IF(E85="",0,IFERROR(INDEX('Qualifier Registry'!$F$4:$F$103,MATCH(E85,'Qualifier Registry'!$A$4:$A$103,0)),0))</f>
        <v>0</v>
      </c>
      <c r="G85" s="12" t="str">
        <f aca="false">IF(A85="","",SUMIFS('Silver Log'!$F$4:$F$1000,'Silver Log'!$B$4:$B$1000,A85))</f>
        <v/>
      </c>
      <c r="H85" s="12" t="str">
        <f aca="false">IF(A85="","",F85+G85)</f>
        <v/>
      </c>
      <c r="I85" s="6"/>
      <c r="J85" s="16"/>
      <c r="K85" s="12" t="str">
        <f aca="false">IF(A85="","",IF(H85&gt;='Reference Tables'!$B$15,"Yes — issue Gold card","-"))</f>
        <v/>
      </c>
    </row>
    <row r="86" customFormat="false" ht="15" hidden="false" customHeight="false" outlineLevel="0" collapsed="false">
      <c r="A86" s="6"/>
      <c r="B86" s="6"/>
      <c r="C86" s="6"/>
      <c r="D86" s="11"/>
      <c r="E86" s="6"/>
      <c r="F86" s="12" t="n">
        <f aca="false">IF(E86="",0,IFERROR(INDEX('Qualifier Registry'!$F$4:$F$103,MATCH(E86,'Qualifier Registry'!$A$4:$A$103,0)),0))</f>
        <v>0</v>
      </c>
      <c r="G86" s="12" t="str">
        <f aca="false">IF(A86="","",SUMIFS('Silver Log'!$F$4:$F$1000,'Silver Log'!$B$4:$B$1000,A86))</f>
        <v/>
      </c>
      <c r="H86" s="12" t="str">
        <f aca="false">IF(A86="","",F86+G86)</f>
        <v/>
      </c>
      <c r="I86" s="6"/>
      <c r="J86" s="16"/>
      <c r="K86" s="12" t="str">
        <f aca="false">IF(A86="","",IF(H86&gt;='Reference Tables'!$B$15,"Yes — issue Gold card","-"))</f>
        <v/>
      </c>
    </row>
    <row r="87" customFormat="false" ht="15" hidden="false" customHeight="false" outlineLevel="0" collapsed="false">
      <c r="A87" s="6"/>
      <c r="B87" s="6"/>
      <c r="C87" s="6"/>
      <c r="D87" s="11"/>
      <c r="E87" s="6"/>
      <c r="F87" s="12" t="n">
        <f aca="false">IF(E87="",0,IFERROR(INDEX('Qualifier Registry'!$F$4:$F$103,MATCH(E87,'Qualifier Registry'!$A$4:$A$103,0)),0))</f>
        <v>0</v>
      </c>
      <c r="G87" s="12" t="str">
        <f aca="false">IF(A87="","",SUMIFS('Silver Log'!$F$4:$F$1000,'Silver Log'!$B$4:$B$1000,A87))</f>
        <v/>
      </c>
      <c r="H87" s="12" t="str">
        <f aca="false">IF(A87="","",F87+G87)</f>
        <v/>
      </c>
      <c r="I87" s="6"/>
      <c r="J87" s="16"/>
      <c r="K87" s="12" t="str">
        <f aca="false">IF(A87="","",IF(H87&gt;='Reference Tables'!$B$15,"Yes — issue Gold card","-"))</f>
        <v/>
      </c>
    </row>
    <row r="88" customFormat="false" ht="15" hidden="false" customHeight="false" outlineLevel="0" collapsed="false">
      <c r="A88" s="6"/>
      <c r="B88" s="6"/>
      <c r="C88" s="6"/>
      <c r="D88" s="11"/>
      <c r="E88" s="6"/>
      <c r="F88" s="12" t="n">
        <f aca="false">IF(E88="",0,IFERROR(INDEX('Qualifier Registry'!$F$4:$F$103,MATCH(E88,'Qualifier Registry'!$A$4:$A$103,0)),0))</f>
        <v>0</v>
      </c>
      <c r="G88" s="12" t="str">
        <f aca="false">IF(A88="","",SUMIFS('Silver Log'!$F$4:$F$1000,'Silver Log'!$B$4:$B$1000,A88))</f>
        <v/>
      </c>
      <c r="H88" s="12" t="str">
        <f aca="false">IF(A88="","",F88+G88)</f>
        <v/>
      </c>
      <c r="I88" s="6"/>
      <c r="J88" s="16"/>
      <c r="K88" s="12" t="str">
        <f aca="false">IF(A88="","",IF(H88&gt;='Reference Tables'!$B$15,"Yes — issue Gold card","-"))</f>
        <v/>
      </c>
    </row>
    <row r="89" customFormat="false" ht="15" hidden="false" customHeight="false" outlineLevel="0" collapsed="false">
      <c r="A89" s="6"/>
      <c r="B89" s="6"/>
      <c r="C89" s="6"/>
      <c r="D89" s="11"/>
      <c r="E89" s="6"/>
      <c r="F89" s="12" t="n">
        <f aca="false">IF(E89="",0,IFERROR(INDEX('Qualifier Registry'!$F$4:$F$103,MATCH(E89,'Qualifier Registry'!$A$4:$A$103,0)),0))</f>
        <v>0</v>
      </c>
      <c r="G89" s="12" t="str">
        <f aca="false">IF(A89="","",SUMIFS('Silver Log'!$F$4:$F$1000,'Silver Log'!$B$4:$B$1000,A89))</f>
        <v/>
      </c>
      <c r="H89" s="12" t="str">
        <f aca="false">IF(A89="","",F89+G89)</f>
        <v/>
      </c>
      <c r="I89" s="6"/>
      <c r="J89" s="16"/>
      <c r="K89" s="12" t="str">
        <f aca="false">IF(A89="","",IF(H89&gt;='Reference Tables'!$B$15,"Yes — issue Gold card","-"))</f>
        <v/>
      </c>
    </row>
    <row r="90" customFormat="false" ht="15" hidden="false" customHeight="false" outlineLevel="0" collapsed="false">
      <c r="A90" s="6"/>
      <c r="B90" s="6"/>
      <c r="C90" s="6"/>
      <c r="D90" s="11"/>
      <c r="E90" s="6"/>
      <c r="F90" s="12" t="n">
        <f aca="false">IF(E90="",0,IFERROR(INDEX('Qualifier Registry'!$F$4:$F$103,MATCH(E90,'Qualifier Registry'!$A$4:$A$103,0)),0))</f>
        <v>0</v>
      </c>
      <c r="G90" s="12" t="str">
        <f aca="false">IF(A90="","",SUMIFS('Silver Log'!$F$4:$F$1000,'Silver Log'!$B$4:$B$1000,A90))</f>
        <v/>
      </c>
      <c r="H90" s="12" t="str">
        <f aca="false">IF(A90="","",F90+G90)</f>
        <v/>
      </c>
      <c r="I90" s="6"/>
      <c r="J90" s="16"/>
      <c r="K90" s="12" t="str">
        <f aca="false">IF(A90="","",IF(H90&gt;='Reference Tables'!$B$15,"Yes — issue Gold card","-"))</f>
        <v/>
      </c>
    </row>
    <row r="91" customFormat="false" ht="15" hidden="false" customHeight="false" outlineLevel="0" collapsed="false">
      <c r="A91" s="6"/>
      <c r="B91" s="6"/>
      <c r="C91" s="6"/>
      <c r="D91" s="11"/>
      <c r="E91" s="6"/>
      <c r="F91" s="12" t="n">
        <f aca="false">IF(E91="",0,IFERROR(INDEX('Qualifier Registry'!$F$4:$F$103,MATCH(E91,'Qualifier Registry'!$A$4:$A$103,0)),0))</f>
        <v>0</v>
      </c>
      <c r="G91" s="12" t="str">
        <f aca="false">IF(A91="","",SUMIFS('Silver Log'!$F$4:$F$1000,'Silver Log'!$B$4:$B$1000,A91))</f>
        <v/>
      </c>
      <c r="H91" s="12" t="str">
        <f aca="false">IF(A91="","",F91+G91)</f>
        <v/>
      </c>
      <c r="I91" s="6"/>
      <c r="J91" s="16"/>
      <c r="K91" s="12" t="str">
        <f aca="false">IF(A91="","",IF(H91&gt;='Reference Tables'!$B$15,"Yes — issue Gold card","-"))</f>
        <v/>
      </c>
    </row>
    <row r="92" customFormat="false" ht="15" hidden="false" customHeight="false" outlineLevel="0" collapsed="false">
      <c r="A92" s="6"/>
      <c r="B92" s="6"/>
      <c r="C92" s="6"/>
      <c r="D92" s="11"/>
      <c r="E92" s="6"/>
      <c r="F92" s="12" t="n">
        <f aca="false">IF(E92="",0,IFERROR(INDEX('Qualifier Registry'!$F$4:$F$103,MATCH(E92,'Qualifier Registry'!$A$4:$A$103,0)),0))</f>
        <v>0</v>
      </c>
      <c r="G92" s="12" t="str">
        <f aca="false">IF(A92="","",SUMIFS('Silver Log'!$F$4:$F$1000,'Silver Log'!$B$4:$B$1000,A92))</f>
        <v/>
      </c>
      <c r="H92" s="12" t="str">
        <f aca="false">IF(A92="","",F92+G92)</f>
        <v/>
      </c>
      <c r="I92" s="6"/>
      <c r="J92" s="16"/>
      <c r="K92" s="12" t="str">
        <f aca="false">IF(A92="","",IF(H92&gt;='Reference Tables'!$B$15,"Yes — issue Gold card","-"))</f>
        <v/>
      </c>
    </row>
    <row r="93" customFormat="false" ht="15" hidden="false" customHeight="false" outlineLevel="0" collapsed="false">
      <c r="A93" s="6"/>
      <c r="B93" s="6"/>
      <c r="C93" s="6"/>
      <c r="D93" s="11"/>
      <c r="E93" s="6"/>
      <c r="F93" s="12" t="n">
        <f aca="false">IF(E93="",0,IFERROR(INDEX('Qualifier Registry'!$F$4:$F$103,MATCH(E93,'Qualifier Registry'!$A$4:$A$103,0)),0))</f>
        <v>0</v>
      </c>
      <c r="G93" s="12" t="str">
        <f aca="false">IF(A93="","",SUMIFS('Silver Log'!$F$4:$F$1000,'Silver Log'!$B$4:$B$1000,A93))</f>
        <v/>
      </c>
      <c r="H93" s="12" t="str">
        <f aca="false">IF(A93="","",F93+G93)</f>
        <v/>
      </c>
      <c r="I93" s="6"/>
      <c r="J93" s="16"/>
      <c r="K93" s="12" t="str">
        <f aca="false">IF(A93="","",IF(H93&gt;='Reference Tables'!$B$15,"Yes — issue Gold card","-"))</f>
        <v/>
      </c>
    </row>
    <row r="94" customFormat="false" ht="15" hidden="false" customHeight="false" outlineLevel="0" collapsed="false">
      <c r="A94" s="6"/>
      <c r="B94" s="6"/>
      <c r="C94" s="6"/>
      <c r="D94" s="11"/>
      <c r="E94" s="6"/>
      <c r="F94" s="12" t="n">
        <f aca="false">IF(E94="",0,IFERROR(INDEX('Qualifier Registry'!$F$4:$F$103,MATCH(E94,'Qualifier Registry'!$A$4:$A$103,0)),0))</f>
        <v>0</v>
      </c>
      <c r="G94" s="12" t="str">
        <f aca="false">IF(A94="","",SUMIFS('Silver Log'!$F$4:$F$1000,'Silver Log'!$B$4:$B$1000,A94))</f>
        <v/>
      </c>
      <c r="H94" s="12" t="str">
        <f aca="false">IF(A94="","",F94+G94)</f>
        <v/>
      </c>
      <c r="I94" s="6"/>
      <c r="J94" s="16"/>
      <c r="K94" s="12" t="str">
        <f aca="false">IF(A94="","",IF(H94&gt;='Reference Tables'!$B$15,"Yes — issue Gold card","-"))</f>
        <v/>
      </c>
    </row>
    <row r="95" customFormat="false" ht="15" hidden="false" customHeight="false" outlineLevel="0" collapsed="false">
      <c r="A95" s="6"/>
      <c r="B95" s="6"/>
      <c r="C95" s="6"/>
      <c r="D95" s="11"/>
      <c r="E95" s="6"/>
      <c r="F95" s="12" t="n">
        <f aca="false">IF(E95="",0,IFERROR(INDEX('Qualifier Registry'!$F$4:$F$103,MATCH(E95,'Qualifier Registry'!$A$4:$A$103,0)),0))</f>
        <v>0</v>
      </c>
      <c r="G95" s="12" t="str">
        <f aca="false">IF(A95="","",SUMIFS('Silver Log'!$F$4:$F$1000,'Silver Log'!$B$4:$B$1000,A95))</f>
        <v/>
      </c>
      <c r="H95" s="12" t="str">
        <f aca="false">IF(A95="","",F95+G95)</f>
        <v/>
      </c>
      <c r="I95" s="6"/>
      <c r="J95" s="16"/>
      <c r="K95" s="12" t="str">
        <f aca="false">IF(A95="","",IF(H95&gt;='Reference Tables'!$B$15,"Yes — issue Gold card","-"))</f>
        <v/>
      </c>
    </row>
    <row r="96" customFormat="false" ht="15" hidden="false" customHeight="false" outlineLevel="0" collapsed="false">
      <c r="A96" s="6"/>
      <c r="B96" s="6"/>
      <c r="C96" s="6"/>
      <c r="D96" s="11"/>
      <c r="E96" s="6"/>
      <c r="F96" s="12" t="n">
        <f aca="false">IF(E96="",0,IFERROR(INDEX('Qualifier Registry'!$F$4:$F$103,MATCH(E96,'Qualifier Registry'!$A$4:$A$103,0)),0))</f>
        <v>0</v>
      </c>
      <c r="G96" s="12" t="str">
        <f aca="false">IF(A96="","",SUMIFS('Silver Log'!$F$4:$F$1000,'Silver Log'!$B$4:$B$1000,A96))</f>
        <v/>
      </c>
      <c r="H96" s="12" t="str">
        <f aca="false">IF(A96="","",F96+G96)</f>
        <v/>
      </c>
      <c r="I96" s="6"/>
      <c r="J96" s="16"/>
      <c r="K96" s="12" t="str">
        <f aca="false">IF(A96="","",IF(H96&gt;='Reference Tables'!$B$15,"Yes — issue Gold card","-"))</f>
        <v/>
      </c>
    </row>
    <row r="97" customFormat="false" ht="15" hidden="false" customHeight="false" outlineLevel="0" collapsed="false">
      <c r="A97" s="6"/>
      <c r="B97" s="6"/>
      <c r="C97" s="6"/>
      <c r="D97" s="11"/>
      <c r="E97" s="6"/>
      <c r="F97" s="12" t="n">
        <f aca="false">IF(E97="",0,IFERROR(INDEX('Qualifier Registry'!$F$4:$F$103,MATCH(E97,'Qualifier Registry'!$A$4:$A$103,0)),0))</f>
        <v>0</v>
      </c>
      <c r="G97" s="12" t="str">
        <f aca="false">IF(A97="","",SUMIFS('Silver Log'!$F$4:$F$1000,'Silver Log'!$B$4:$B$1000,A97))</f>
        <v/>
      </c>
      <c r="H97" s="12" t="str">
        <f aca="false">IF(A97="","",F97+G97)</f>
        <v/>
      </c>
      <c r="I97" s="6"/>
      <c r="J97" s="16"/>
      <c r="K97" s="12" t="str">
        <f aca="false">IF(A97="","",IF(H97&gt;='Reference Tables'!$B$15,"Yes — issue Gold card","-"))</f>
        <v/>
      </c>
    </row>
    <row r="98" customFormat="false" ht="15" hidden="false" customHeight="false" outlineLevel="0" collapsed="false">
      <c r="A98" s="6"/>
      <c r="B98" s="6"/>
      <c r="C98" s="6"/>
      <c r="D98" s="11"/>
      <c r="E98" s="6"/>
      <c r="F98" s="12" t="n">
        <f aca="false">IF(E98="",0,IFERROR(INDEX('Qualifier Registry'!$F$4:$F$103,MATCH(E98,'Qualifier Registry'!$A$4:$A$103,0)),0))</f>
        <v>0</v>
      </c>
      <c r="G98" s="12" t="str">
        <f aca="false">IF(A98="","",SUMIFS('Silver Log'!$F$4:$F$1000,'Silver Log'!$B$4:$B$1000,A98))</f>
        <v/>
      </c>
      <c r="H98" s="12" t="str">
        <f aca="false">IF(A98="","",F98+G98)</f>
        <v/>
      </c>
      <c r="I98" s="6"/>
      <c r="J98" s="16"/>
      <c r="K98" s="12" t="str">
        <f aca="false">IF(A98="","",IF(H98&gt;='Reference Tables'!$B$15,"Yes — issue Gold card","-"))</f>
        <v/>
      </c>
    </row>
    <row r="99" customFormat="false" ht="15" hidden="false" customHeight="false" outlineLevel="0" collapsed="false">
      <c r="A99" s="6"/>
      <c r="B99" s="6"/>
      <c r="C99" s="6"/>
      <c r="D99" s="11"/>
      <c r="E99" s="6"/>
      <c r="F99" s="12" t="n">
        <f aca="false">IF(E99="",0,IFERROR(INDEX('Qualifier Registry'!$F$4:$F$103,MATCH(E99,'Qualifier Registry'!$A$4:$A$103,0)),0))</f>
        <v>0</v>
      </c>
      <c r="G99" s="12" t="str">
        <f aca="false">IF(A99="","",SUMIFS('Silver Log'!$F$4:$F$1000,'Silver Log'!$B$4:$B$1000,A99))</f>
        <v/>
      </c>
      <c r="H99" s="12" t="str">
        <f aca="false">IF(A99="","",F99+G99)</f>
        <v/>
      </c>
      <c r="I99" s="6"/>
      <c r="J99" s="16"/>
      <c r="K99" s="12" t="str">
        <f aca="false">IF(A99="","",IF(H99&gt;='Reference Tables'!$B$15,"Yes — issue Gold card","-"))</f>
        <v/>
      </c>
    </row>
    <row r="100" customFormat="false" ht="15" hidden="false" customHeight="false" outlineLevel="0" collapsed="false">
      <c r="A100" s="6"/>
      <c r="B100" s="6"/>
      <c r="C100" s="6"/>
      <c r="D100" s="11"/>
      <c r="E100" s="6"/>
      <c r="F100" s="12" t="n">
        <f aca="false">IF(E100="",0,IFERROR(INDEX('Qualifier Registry'!$F$4:$F$103,MATCH(E100,'Qualifier Registry'!$A$4:$A$103,0)),0))</f>
        <v>0</v>
      </c>
      <c r="G100" s="12" t="str">
        <f aca="false">IF(A100="","",SUMIFS('Silver Log'!$F$4:$F$1000,'Silver Log'!$B$4:$B$1000,A100))</f>
        <v/>
      </c>
      <c r="H100" s="12" t="str">
        <f aca="false">IF(A100="","",F100+G100)</f>
        <v/>
      </c>
      <c r="I100" s="6"/>
      <c r="J100" s="16"/>
      <c r="K100" s="12" t="str">
        <f aca="false">IF(A100="","",IF(H100&gt;='Reference Tables'!$B$15,"Yes — issue Gold card","-"))</f>
        <v/>
      </c>
    </row>
    <row r="101" customFormat="false" ht="15" hidden="false" customHeight="false" outlineLevel="0" collapsed="false">
      <c r="A101" s="6"/>
      <c r="B101" s="6"/>
      <c r="C101" s="6"/>
      <c r="D101" s="11"/>
      <c r="E101" s="6"/>
      <c r="F101" s="12" t="n">
        <f aca="false">IF(E101="",0,IFERROR(INDEX('Qualifier Registry'!$F$4:$F$103,MATCH(E101,'Qualifier Registry'!$A$4:$A$103,0)),0))</f>
        <v>0</v>
      </c>
      <c r="G101" s="12" t="str">
        <f aca="false">IF(A101="","",SUMIFS('Silver Log'!$F$4:$F$1000,'Silver Log'!$B$4:$B$1000,A101))</f>
        <v/>
      </c>
      <c r="H101" s="12" t="str">
        <f aca="false">IF(A101="","",F101+G101)</f>
        <v/>
      </c>
      <c r="I101" s="6"/>
      <c r="J101" s="16"/>
      <c r="K101" s="12" t="str">
        <f aca="false">IF(A101="","",IF(H101&gt;='Reference Tables'!$B$15,"Yes — issue Gold card","-"))</f>
        <v/>
      </c>
    </row>
    <row r="102" customFormat="false" ht="15" hidden="false" customHeight="false" outlineLevel="0" collapsed="false">
      <c r="A102" s="6"/>
      <c r="B102" s="6"/>
      <c r="C102" s="6"/>
      <c r="D102" s="11"/>
      <c r="E102" s="6"/>
      <c r="F102" s="12" t="n">
        <f aca="false">IF(E102="",0,IFERROR(INDEX('Qualifier Registry'!$F$4:$F$103,MATCH(E102,'Qualifier Registry'!$A$4:$A$103,0)),0))</f>
        <v>0</v>
      </c>
      <c r="G102" s="12" t="str">
        <f aca="false">IF(A102="","",SUMIFS('Silver Log'!$F$4:$F$1000,'Silver Log'!$B$4:$B$1000,A102))</f>
        <v/>
      </c>
      <c r="H102" s="12" t="str">
        <f aca="false">IF(A102="","",F102+G102)</f>
        <v/>
      </c>
      <c r="I102" s="6"/>
      <c r="J102" s="16"/>
      <c r="K102" s="12" t="str">
        <f aca="false">IF(A102="","",IF(H102&gt;='Reference Tables'!$B$15,"Yes — issue Gold card","-"))</f>
        <v/>
      </c>
    </row>
    <row r="103" customFormat="false" ht="15" hidden="false" customHeight="false" outlineLevel="0" collapsed="false">
      <c r="A103" s="6"/>
      <c r="B103" s="6"/>
      <c r="C103" s="6"/>
      <c r="D103" s="11"/>
      <c r="E103" s="6"/>
      <c r="F103" s="12" t="n">
        <f aca="false">IF(E103="",0,IFERROR(INDEX('Qualifier Registry'!$F$4:$F$103,MATCH(E103,'Qualifier Registry'!$A$4:$A$103,0)),0))</f>
        <v>0</v>
      </c>
      <c r="G103" s="12" t="str">
        <f aca="false">IF(A103="","",SUMIFS('Silver Log'!$F$4:$F$1000,'Silver Log'!$B$4:$B$1000,A103))</f>
        <v/>
      </c>
      <c r="H103" s="12" t="str">
        <f aca="false">IF(A103="","",F103+G103)</f>
        <v/>
      </c>
      <c r="I103" s="6"/>
      <c r="J103" s="16"/>
      <c r="K103" s="12" t="str">
        <f aca="false">IF(A103="","",IF(H103&gt;='Reference Tables'!$B$15,"Yes — issue Gold card","-"))</f>
        <v/>
      </c>
    </row>
  </sheetData>
  <dataValidations count="2">
    <dataValidation allowBlank="true" errorStyle="stop" operator="between" showDropDown="false" showErrorMessage="false" showInputMessage="false" sqref="I4:I103" type="list">
      <formula1>"Y,N"</formula1>
      <formula2>0</formula2>
    </dataValidation>
    <dataValidation allowBlank="true" errorStyle="stop" operator="between" showDropDown="false" showErrorMessage="false" showInputMessage="false" sqref="J4:J103" type="list">
      <formula1>"Active,Upgraded"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20"/>
    <col collapsed="false" customWidth="true" hidden="false" outlineLevel="0" max="4" min="4" style="0" width="18"/>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9" min="8" style="0" width="15"/>
    <col collapsed="false" customWidth="true" hidden="false" outlineLevel="0" max="10" min="10" style="0" width="16"/>
    <col collapsed="false" customWidth="true" hidden="false" outlineLevel="0" max="11" min="11" style="0" width="15"/>
    <col collapsed="false" customWidth="true" hidden="false" outlineLevel="0" max="12" min="12" style="0" width="22"/>
  </cols>
  <sheetData>
    <row r="1" customFormat="false" ht="17.35" hidden="false" customHeight="false" outlineLevel="0" collapsed="false">
      <c r="A1" s="1" t="s">
        <v>85</v>
      </c>
    </row>
    <row r="2" customFormat="false" ht="15" hidden="false" customHeight="false" outlineLevel="0" collapsed="false">
      <c r="A2" s="2" t="s">
        <v>86</v>
      </c>
    </row>
    <row r="3" customFormat="false" ht="31.5" hidden="false" customHeight="true" outlineLevel="0" collapsed="false">
      <c r="A3" s="15" t="s">
        <v>68</v>
      </c>
      <c r="B3" s="15" t="s">
        <v>53</v>
      </c>
      <c r="C3" s="15" t="s">
        <v>54</v>
      </c>
      <c r="D3" s="15" t="s">
        <v>69</v>
      </c>
      <c r="E3" s="15" t="s">
        <v>32</v>
      </c>
      <c r="F3" s="15" t="s">
        <v>33</v>
      </c>
      <c r="G3" s="15" t="s">
        <v>44</v>
      </c>
      <c r="H3" s="15" t="s">
        <v>70</v>
      </c>
      <c r="I3" s="15" t="s">
        <v>71</v>
      </c>
      <c r="J3" s="15" t="s">
        <v>72</v>
      </c>
      <c r="K3" s="15" t="s">
        <v>73</v>
      </c>
      <c r="L3" s="15" t="s">
        <v>74</v>
      </c>
    </row>
    <row r="4" customFormat="false" ht="15" hidden="false" customHeight="false" outlineLevel="0" collapsed="false">
      <c r="A4" s="11" t="s">
        <v>75</v>
      </c>
      <c r="B4" s="6" t="s">
        <v>83</v>
      </c>
      <c r="C4" s="12" t="str">
        <f aca="false">IF(B4="","",IFERROR(INDEX('Silver Registry'!$B$4:$B$103,MATCH(B4,'Silver Registry'!$A$4:$A$103,0)),"Not found"))</f>
        <v>Juan Dela Cruz</v>
      </c>
      <c r="D4" s="6" t="s">
        <v>37</v>
      </c>
      <c r="E4" s="13" t="n">
        <f aca="false">IF(D4="","",IFERROR(INDEX('Reference Tables'!$B$3:$B$8,MATCH(D4,'Reference Tables'!$A$3:$A$8,0)),"Invalid package"))</f>
        <v>100</v>
      </c>
      <c r="F4" s="12" t="n">
        <f aca="false">IF(D4="","",IFERROR(INDEX('Reference Tables'!$C$3:$C$8,MATCH(D4,'Reference Tables'!$A$3:$A$8,0)),"Invalid package"))</f>
        <v>10</v>
      </c>
      <c r="G4" s="14" t="n">
        <f aca="false">IF(E4="","",'Reference Tables'!$C$14)</f>
        <v>0.05</v>
      </c>
      <c r="H4" s="12" t="str">
        <f aca="false">IF(E4="","",IF(E4&gt;=150,"Yes","No"))</f>
        <v>No</v>
      </c>
      <c r="I4" s="13" t="n">
        <f aca="false">IF(E4="","",IF(H4="Yes",E4*G4,0))</f>
        <v>0</v>
      </c>
      <c r="J4" s="13" t="n">
        <f aca="false">IF(E4="","",E4-I4)</f>
        <v>100</v>
      </c>
      <c r="K4" s="6" t="s">
        <v>76</v>
      </c>
      <c r="L4" s="6" t="s">
        <v>77</v>
      </c>
    </row>
    <row r="5" customFormat="false" ht="15" hidden="false" customHeight="false" outlineLevel="0" collapsed="false">
      <c r="A5" s="11"/>
      <c r="B5" s="6"/>
      <c r="C5" s="12" t="str">
        <f aca="false">IF(B5="","",IFERROR(INDEX('Silver Registry'!$B$4:$B$103,MATCH(B5,'Silver Registry'!$A$4:$A$103,0)),"Not found"))</f>
        <v/>
      </c>
      <c r="D5" s="6"/>
      <c r="E5" s="13" t="str">
        <f aca="false">IF(D5="","",IFERROR(INDEX('Reference Tables'!$B$3:$B$8,MATCH(D5,'Reference Tables'!$A$3:$A$8,0)),"Invalid package"))</f>
        <v/>
      </c>
      <c r="F5" s="12" t="str">
        <f aca="false">IF(D5="","",IFERROR(INDEX('Reference Tables'!$C$3:$C$8,MATCH(D5,'Reference Tables'!$A$3:$A$8,0)),"Invalid package"))</f>
        <v/>
      </c>
      <c r="G5" s="14" t="str">
        <f aca="false">IF(E5="","",'Reference Tables'!$C$14)</f>
        <v/>
      </c>
      <c r="H5" s="12" t="str">
        <f aca="false">IF(E5="","",IF(E5&gt;=150,"Yes","No"))</f>
        <v/>
      </c>
      <c r="I5" s="13" t="str">
        <f aca="false">IF(E5="","",IF(H5="Yes",E5*G5,0))</f>
        <v/>
      </c>
      <c r="J5" s="13" t="str">
        <f aca="false">IF(E5="","",E5-I5)</f>
        <v/>
      </c>
      <c r="K5" s="6"/>
      <c r="L5" s="6"/>
    </row>
    <row r="6" customFormat="false" ht="15" hidden="false" customHeight="false" outlineLevel="0" collapsed="false">
      <c r="A6" s="11"/>
      <c r="B6" s="6"/>
      <c r="C6" s="12" t="str">
        <f aca="false">IF(B6="","",IFERROR(INDEX('Silver Registry'!$B$4:$B$103,MATCH(B6,'Silver Registry'!$A$4:$A$103,0)),"Not found"))</f>
        <v/>
      </c>
      <c r="D6" s="6"/>
      <c r="E6" s="13" t="str">
        <f aca="false">IF(D6="","",IFERROR(INDEX('Reference Tables'!$B$3:$B$8,MATCH(D6,'Reference Tables'!$A$3:$A$8,0)),"Invalid package"))</f>
        <v/>
      </c>
      <c r="F6" s="12" t="str">
        <f aca="false">IF(D6="","",IFERROR(INDEX('Reference Tables'!$C$3:$C$8,MATCH(D6,'Reference Tables'!$A$3:$A$8,0)),"Invalid package"))</f>
        <v/>
      </c>
      <c r="G6" s="14" t="str">
        <f aca="false">IF(E6="","",'Reference Tables'!$C$14)</f>
        <v/>
      </c>
      <c r="H6" s="12" t="str">
        <f aca="false">IF(E6="","",IF(E6&gt;=150,"Yes","No"))</f>
        <v/>
      </c>
      <c r="I6" s="13" t="str">
        <f aca="false">IF(E6="","",IF(H6="Yes",E6*G6,0))</f>
        <v/>
      </c>
      <c r="J6" s="13" t="str">
        <f aca="false">IF(E6="","",E6-I6)</f>
        <v/>
      </c>
      <c r="K6" s="6"/>
      <c r="L6" s="6"/>
    </row>
    <row r="7" customFormat="false" ht="15" hidden="false" customHeight="false" outlineLevel="0" collapsed="false">
      <c r="A7" s="11"/>
      <c r="B7" s="6"/>
      <c r="C7" s="12" t="str">
        <f aca="false">IF(B7="","",IFERROR(INDEX('Silver Registry'!$B$4:$B$103,MATCH(B7,'Silver Registry'!$A$4:$A$103,0)),"Not found"))</f>
        <v/>
      </c>
      <c r="D7" s="6"/>
      <c r="E7" s="13" t="str">
        <f aca="false">IF(D7="","",IFERROR(INDEX('Reference Tables'!$B$3:$B$8,MATCH(D7,'Reference Tables'!$A$3:$A$8,0)),"Invalid package"))</f>
        <v/>
      </c>
      <c r="F7" s="12" t="str">
        <f aca="false">IF(D7="","",IFERROR(INDEX('Reference Tables'!$C$3:$C$8,MATCH(D7,'Reference Tables'!$A$3:$A$8,0)),"Invalid package"))</f>
        <v/>
      </c>
      <c r="G7" s="14" t="str">
        <f aca="false">IF(E7="","",'Reference Tables'!$C$14)</f>
        <v/>
      </c>
      <c r="H7" s="12" t="str">
        <f aca="false">IF(E7="","",IF(E7&gt;=150,"Yes","No"))</f>
        <v/>
      </c>
      <c r="I7" s="13" t="str">
        <f aca="false">IF(E7="","",IF(H7="Yes",E7*G7,0))</f>
        <v/>
      </c>
      <c r="J7" s="13" t="str">
        <f aca="false">IF(E7="","",E7-I7)</f>
        <v/>
      </c>
      <c r="K7" s="6"/>
      <c r="L7" s="6"/>
    </row>
    <row r="8" customFormat="false" ht="15" hidden="false" customHeight="false" outlineLevel="0" collapsed="false">
      <c r="A8" s="11"/>
      <c r="B8" s="6"/>
      <c r="C8" s="12" t="str">
        <f aca="false">IF(B8="","",IFERROR(INDEX('Silver Registry'!$B$4:$B$103,MATCH(B8,'Silver Registry'!$A$4:$A$103,0)),"Not found"))</f>
        <v/>
      </c>
      <c r="D8" s="6"/>
      <c r="E8" s="13" t="str">
        <f aca="false">IF(D8="","",IFERROR(INDEX('Reference Tables'!$B$3:$B$8,MATCH(D8,'Reference Tables'!$A$3:$A$8,0)),"Invalid package"))</f>
        <v/>
      </c>
      <c r="F8" s="12" t="str">
        <f aca="false">IF(D8="","",IFERROR(INDEX('Reference Tables'!$C$3:$C$8,MATCH(D8,'Reference Tables'!$A$3:$A$8,0)),"Invalid package"))</f>
        <v/>
      </c>
      <c r="G8" s="14" t="str">
        <f aca="false">IF(E8="","",'Reference Tables'!$C$14)</f>
        <v/>
      </c>
      <c r="H8" s="12" t="str">
        <f aca="false">IF(E8="","",IF(E8&gt;=150,"Yes","No"))</f>
        <v/>
      </c>
      <c r="I8" s="13" t="str">
        <f aca="false">IF(E8="","",IF(H8="Yes",E8*G8,0))</f>
        <v/>
      </c>
      <c r="J8" s="13" t="str">
        <f aca="false">IF(E8="","",E8-I8)</f>
        <v/>
      </c>
      <c r="K8" s="6"/>
      <c r="L8" s="6"/>
    </row>
    <row r="9" customFormat="false" ht="15" hidden="false" customHeight="false" outlineLevel="0" collapsed="false">
      <c r="A9" s="11"/>
      <c r="B9" s="6"/>
      <c r="C9" s="12" t="str">
        <f aca="false">IF(B9="","",IFERROR(INDEX('Silver Registry'!$B$4:$B$103,MATCH(B9,'Silver Registry'!$A$4:$A$103,0)),"Not found"))</f>
        <v/>
      </c>
      <c r="D9" s="6"/>
      <c r="E9" s="13" t="str">
        <f aca="false">IF(D9="","",IFERROR(INDEX('Reference Tables'!$B$3:$B$8,MATCH(D9,'Reference Tables'!$A$3:$A$8,0)),"Invalid package"))</f>
        <v/>
      </c>
      <c r="F9" s="12" t="str">
        <f aca="false">IF(D9="","",IFERROR(INDEX('Reference Tables'!$C$3:$C$8,MATCH(D9,'Reference Tables'!$A$3:$A$8,0)),"Invalid package"))</f>
        <v/>
      </c>
      <c r="G9" s="14" t="str">
        <f aca="false">IF(E9="","",'Reference Tables'!$C$14)</f>
        <v/>
      </c>
      <c r="H9" s="12" t="str">
        <f aca="false">IF(E9="","",IF(E9&gt;=150,"Yes","No"))</f>
        <v/>
      </c>
      <c r="I9" s="13" t="str">
        <f aca="false">IF(E9="","",IF(H9="Yes",E9*G9,0))</f>
        <v/>
      </c>
      <c r="J9" s="13" t="str">
        <f aca="false">IF(E9="","",E9-I9)</f>
        <v/>
      </c>
      <c r="K9" s="6"/>
      <c r="L9" s="6"/>
    </row>
    <row r="10" customFormat="false" ht="15" hidden="false" customHeight="false" outlineLevel="0" collapsed="false">
      <c r="A10" s="11"/>
      <c r="B10" s="6"/>
      <c r="C10" s="12" t="str">
        <f aca="false">IF(B10="","",IFERROR(INDEX('Silver Registry'!$B$4:$B$103,MATCH(B10,'Silver Registry'!$A$4:$A$103,0)),"Not found"))</f>
        <v/>
      </c>
      <c r="D10" s="6"/>
      <c r="E10" s="13" t="str">
        <f aca="false">IF(D10="","",IFERROR(INDEX('Reference Tables'!$B$3:$B$8,MATCH(D10,'Reference Tables'!$A$3:$A$8,0)),"Invalid package"))</f>
        <v/>
      </c>
      <c r="F10" s="12" t="str">
        <f aca="false">IF(D10="","",IFERROR(INDEX('Reference Tables'!$C$3:$C$8,MATCH(D10,'Reference Tables'!$A$3:$A$8,0)),"Invalid package"))</f>
        <v/>
      </c>
      <c r="G10" s="14" t="str">
        <f aca="false">IF(E10="","",'Reference Tables'!$C$14)</f>
        <v/>
      </c>
      <c r="H10" s="12" t="str">
        <f aca="false">IF(E10="","",IF(E10&gt;=150,"Yes","No"))</f>
        <v/>
      </c>
      <c r="I10" s="13" t="str">
        <f aca="false">IF(E10="","",IF(H10="Yes",E10*G10,0))</f>
        <v/>
      </c>
      <c r="J10" s="13" t="str">
        <f aca="false">IF(E10="","",E10-I10)</f>
        <v/>
      </c>
      <c r="K10" s="6"/>
      <c r="L10" s="6"/>
    </row>
    <row r="11" customFormat="false" ht="15" hidden="false" customHeight="false" outlineLevel="0" collapsed="false">
      <c r="A11" s="11"/>
      <c r="B11" s="6"/>
      <c r="C11" s="12" t="str">
        <f aca="false">IF(B11="","",IFERROR(INDEX('Silver Registry'!$B$4:$B$103,MATCH(B11,'Silver Registry'!$A$4:$A$103,0)),"Not found"))</f>
        <v/>
      </c>
      <c r="D11" s="6"/>
      <c r="E11" s="13" t="str">
        <f aca="false">IF(D11="","",IFERROR(INDEX('Reference Tables'!$B$3:$B$8,MATCH(D11,'Reference Tables'!$A$3:$A$8,0)),"Invalid package"))</f>
        <v/>
      </c>
      <c r="F11" s="12" t="str">
        <f aca="false">IF(D11="","",IFERROR(INDEX('Reference Tables'!$C$3:$C$8,MATCH(D11,'Reference Tables'!$A$3:$A$8,0)),"Invalid package"))</f>
        <v/>
      </c>
      <c r="G11" s="14" t="str">
        <f aca="false">IF(E11="","",'Reference Tables'!$C$14)</f>
        <v/>
      </c>
      <c r="H11" s="12" t="str">
        <f aca="false">IF(E11="","",IF(E11&gt;=150,"Yes","No"))</f>
        <v/>
      </c>
      <c r="I11" s="13" t="str">
        <f aca="false">IF(E11="","",IF(H11="Yes",E11*G11,0))</f>
        <v/>
      </c>
      <c r="J11" s="13" t="str">
        <f aca="false">IF(E11="","",E11-I11)</f>
        <v/>
      </c>
      <c r="K11" s="6"/>
      <c r="L11" s="6"/>
    </row>
    <row r="12" customFormat="false" ht="15" hidden="false" customHeight="false" outlineLevel="0" collapsed="false">
      <c r="A12" s="11"/>
      <c r="B12" s="6"/>
      <c r="C12" s="12" t="str">
        <f aca="false">IF(B12="","",IFERROR(INDEX('Silver Registry'!$B$4:$B$103,MATCH(B12,'Silver Registry'!$A$4:$A$103,0)),"Not found"))</f>
        <v/>
      </c>
      <c r="D12" s="6"/>
      <c r="E12" s="13" t="str">
        <f aca="false">IF(D12="","",IFERROR(INDEX('Reference Tables'!$B$3:$B$8,MATCH(D12,'Reference Tables'!$A$3:$A$8,0)),"Invalid package"))</f>
        <v/>
      </c>
      <c r="F12" s="12" t="str">
        <f aca="false">IF(D12="","",IFERROR(INDEX('Reference Tables'!$C$3:$C$8,MATCH(D12,'Reference Tables'!$A$3:$A$8,0)),"Invalid package"))</f>
        <v/>
      </c>
      <c r="G12" s="14" t="str">
        <f aca="false">IF(E12="","",'Reference Tables'!$C$14)</f>
        <v/>
      </c>
      <c r="H12" s="12" t="str">
        <f aca="false">IF(E12="","",IF(E12&gt;=150,"Yes","No"))</f>
        <v/>
      </c>
      <c r="I12" s="13" t="str">
        <f aca="false">IF(E12="","",IF(H12="Yes",E12*G12,0))</f>
        <v/>
      </c>
      <c r="J12" s="13" t="str">
        <f aca="false">IF(E12="","",E12-I12)</f>
        <v/>
      </c>
      <c r="K12" s="6"/>
      <c r="L12" s="6"/>
    </row>
    <row r="13" customFormat="false" ht="15" hidden="false" customHeight="false" outlineLevel="0" collapsed="false">
      <c r="A13" s="11"/>
      <c r="B13" s="6"/>
      <c r="C13" s="12" t="str">
        <f aca="false">IF(B13="","",IFERROR(INDEX('Silver Registry'!$B$4:$B$103,MATCH(B13,'Silver Registry'!$A$4:$A$103,0)),"Not found"))</f>
        <v/>
      </c>
      <c r="D13" s="6"/>
      <c r="E13" s="13" t="str">
        <f aca="false">IF(D13="","",IFERROR(INDEX('Reference Tables'!$B$3:$B$8,MATCH(D13,'Reference Tables'!$A$3:$A$8,0)),"Invalid package"))</f>
        <v/>
      </c>
      <c r="F13" s="12" t="str">
        <f aca="false">IF(D13="","",IFERROR(INDEX('Reference Tables'!$C$3:$C$8,MATCH(D13,'Reference Tables'!$A$3:$A$8,0)),"Invalid package"))</f>
        <v/>
      </c>
      <c r="G13" s="14" t="str">
        <f aca="false">IF(E13="","",'Reference Tables'!$C$14)</f>
        <v/>
      </c>
      <c r="H13" s="12" t="str">
        <f aca="false">IF(E13="","",IF(E13&gt;=150,"Yes","No"))</f>
        <v/>
      </c>
      <c r="I13" s="13" t="str">
        <f aca="false">IF(E13="","",IF(H13="Yes",E13*G13,0))</f>
        <v/>
      </c>
      <c r="J13" s="13" t="str">
        <f aca="false">IF(E13="","",E13-I13)</f>
        <v/>
      </c>
      <c r="K13" s="6"/>
      <c r="L13" s="6"/>
    </row>
    <row r="14" customFormat="false" ht="15" hidden="false" customHeight="false" outlineLevel="0" collapsed="false">
      <c r="A14" s="11"/>
      <c r="B14" s="6"/>
      <c r="C14" s="12" t="str">
        <f aca="false">IF(B14="","",IFERROR(INDEX('Silver Registry'!$B$4:$B$103,MATCH(B14,'Silver Registry'!$A$4:$A$103,0)),"Not found"))</f>
        <v/>
      </c>
      <c r="D14" s="6"/>
      <c r="E14" s="13" t="str">
        <f aca="false">IF(D14="","",IFERROR(INDEX('Reference Tables'!$B$3:$B$8,MATCH(D14,'Reference Tables'!$A$3:$A$8,0)),"Invalid package"))</f>
        <v/>
      </c>
      <c r="F14" s="12" t="str">
        <f aca="false">IF(D14="","",IFERROR(INDEX('Reference Tables'!$C$3:$C$8,MATCH(D14,'Reference Tables'!$A$3:$A$8,0)),"Invalid package"))</f>
        <v/>
      </c>
      <c r="G14" s="14" t="str">
        <f aca="false">IF(E14="","",'Reference Tables'!$C$14)</f>
        <v/>
      </c>
      <c r="H14" s="12" t="str">
        <f aca="false">IF(E14="","",IF(E14&gt;=150,"Yes","No"))</f>
        <v/>
      </c>
      <c r="I14" s="13" t="str">
        <f aca="false">IF(E14="","",IF(H14="Yes",E14*G14,0))</f>
        <v/>
      </c>
      <c r="J14" s="13" t="str">
        <f aca="false">IF(E14="","",E14-I14)</f>
        <v/>
      </c>
      <c r="K14" s="6"/>
      <c r="L14" s="6"/>
    </row>
    <row r="15" customFormat="false" ht="15" hidden="false" customHeight="false" outlineLevel="0" collapsed="false">
      <c r="A15" s="11"/>
      <c r="B15" s="6"/>
      <c r="C15" s="12" t="str">
        <f aca="false">IF(B15="","",IFERROR(INDEX('Silver Registry'!$B$4:$B$103,MATCH(B15,'Silver Registry'!$A$4:$A$103,0)),"Not found"))</f>
        <v/>
      </c>
      <c r="D15" s="6"/>
      <c r="E15" s="13" t="str">
        <f aca="false">IF(D15="","",IFERROR(INDEX('Reference Tables'!$B$3:$B$8,MATCH(D15,'Reference Tables'!$A$3:$A$8,0)),"Invalid package"))</f>
        <v/>
      </c>
      <c r="F15" s="12" t="str">
        <f aca="false">IF(D15="","",IFERROR(INDEX('Reference Tables'!$C$3:$C$8,MATCH(D15,'Reference Tables'!$A$3:$A$8,0)),"Invalid package"))</f>
        <v/>
      </c>
      <c r="G15" s="14" t="str">
        <f aca="false">IF(E15="","",'Reference Tables'!$C$14)</f>
        <v/>
      </c>
      <c r="H15" s="12" t="str">
        <f aca="false">IF(E15="","",IF(E15&gt;=150,"Yes","No"))</f>
        <v/>
      </c>
      <c r="I15" s="13" t="str">
        <f aca="false">IF(E15="","",IF(H15="Yes",E15*G15,0))</f>
        <v/>
      </c>
      <c r="J15" s="13" t="str">
        <f aca="false">IF(E15="","",E15-I15)</f>
        <v/>
      </c>
      <c r="K15" s="6"/>
      <c r="L15" s="6"/>
    </row>
    <row r="16" customFormat="false" ht="15" hidden="false" customHeight="false" outlineLevel="0" collapsed="false">
      <c r="A16" s="11"/>
      <c r="B16" s="6"/>
      <c r="C16" s="12" t="str">
        <f aca="false">IF(B16="","",IFERROR(INDEX('Silver Registry'!$B$4:$B$103,MATCH(B16,'Silver Registry'!$A$4:$A$103,0)),"Not found"))</f>
        <v/>
      </c>
      <c r="D16" s="6"/>
      <c r="E16" s="13" t="str">
        <f aca="false">IF(D16="","",IFERROR(INDEX('Reference Tables'!$B$3:$B$8,MATCH(D16,'Reference Tables'!$A$3:$A$8,0)),"Invalid package"))</f>
        <v/>
      </c>
      <c r="F16" s="12" t="str">
        <f aca="false">IF(D16="","",IFERROR(INDEX('Reference Tables'!$C$3:$C$8,MATCH(D16,'Reference Tables'!$A$3:$A$8,0)),"Invalid package"))</f>
        <v/>
      </c>
      <c r="G16" s="14" t="str">
        <f aca="false">IF(E16="","",'Reference Tables'!$C$14)</f>
        <v/>
      </c>
      <c r="H16" s="12" t="str">
        <f aca="false">IF(E16="","",IF(E16&gt;=150,"Yes","No"))</f>
        <v/>
      </c>
      <c r="I16" s="13" t="str">
        <f aca="false">IF(E16="","",IF(H16="Yes",E16*G16,0))</f>
        <v/>
      </c>
      <c r="J16" s="13" t="str">
        <f aca="false">IF(E16="","",E16-I16)</f>
        <v/>
      </c>
      <c r="K16" s="6"/>
      <c r="L16" s="6"/>
    </row>
    <row r="17" customFormat="false" ht="15" hidden="false" customHeight="false" outlineLevel="0" collapsed="false">
      <c r="A17" s="11"/>
      <c r="B17" s="6"/>
      <c r="C17" s="12" t="str">
        <f aca="false">IF(B17="","",IFERROR(INDEX('Silver Registry'!$B$4:$B$103,MATCH(B17,'Silver Registry'!$A$4:$A$103,0)),"Not found"))</f>
        <v/>
      </c>
      <c r="D17" s="6"/>
      <c r="E17" s="13" t="str">
        <f aca="false">IF(D17="","",IFERROR(INDEX('Reference Tables'!$B$3:$B$8,MATCH(D17,'Reference Tables'!$A$3:$A$8,0)),"Invalid package"))</f>
        <v/>
      </c>
      <c r="F17" s="12" t="str">
        <f aca="false">IF(D17="","",IFERROR(INDEX('Reference Tables'!$C$3:$C$8,MATCH(D17,'Reference Tables'!$A$3:$A$8,0)),"Invalid package"))</f>
        <v/>
      </c>
      <c r="G17" s="14" t="str">
        <f aca="false">IF(E17="","",'Reference Tables'!$C$14)</f>
        <v/>
      </c>
      <c r="H17" s="12" t="str">
        <f aca="false">IF(E17="","",IF(E17&gt;=150,"Yes","No"))</f>
        <v/>
      </c>
      <c r="I17" s="13" t="str">
        <f aca="false">IF(E17="","",IF(H17="Yes",E17*G17,0))</f>
        <v/>
      </c>
      <c r="J17" s="13" t="str">
        <f aca="false">IF(E17="","",E17-I17)</f>
        <v/>
      </c>
      <c r="K17" s="6"/>
      <c r="L17" s="6"/>
    </row>
    <row r="18" customFormat="false" ht="15" hidden="false" customHeight="false" outlineLevel="0" collapsed="false">
      <c r="A18" s="11"/>
      <c r="B18" s="6"/>
      <c r="C18" s="12" t="str">
        <f aca="false">IF(B18="","",IFERROR(INDEX('Silver Registry'!$B$4:$B$103,MATCH(B18,'Silver Registry'!$A$4:$A$103,0)),"Not found"))</f>
        <v/>
      </c>
      <c r="D18" s="6"/>
      <c r="E18" s="13" t="str">
        <f aca="false">IF(D18="","",IFERROR(INDEX('Reference Tables'!$B$3:$B$8,MATCH(D18,'Reference Tables'!$A$3:$A$8,0)),"Invalid package"))</f>
        <v/>
      </c>
      <c r="F18" s="12" t="str">
        <f aca="false">IF(D18="","",IFERROR(INDEX('Reference Tables'!$C$3:$C$8,MATCH(D18,'Reference Tables'!$A$3:$A$8,0)),"Invalid package"))</f>
        <v/>
      </c>
      <c r="G18" s="14" t="str">
        <f aca="false">IF(E18="","",'Reference Tables'!$C$14)</f>
        <v/>
      </c>
      <c r="H18" s="12" t="str">
        <f aca="false">IF(E18="","",IF(E18&gt;=150,"Yes","No"))</f>
        <v/>
      </c>
      <c r="I18" s="13" t="str">
        <f aca="false">IF(E18="","",IF(H18="Yes",E18*G18,0))</f>
        <v/>
      </c>
      <c r="J18" s="13" t="str">
        <f aca="false">IF(E18="","",E18-I18)</f>
        <v/>
      </c>
      <c r="K18" s="6"/>
      <c r="L18" s="6"/>
    </row>
    <row r="19" customFormat="false" ht="15" hidden="false" customHeight="false" outlineLevel="0" collapsed="false">
      <c r="A19" s="11"/>
      <c r="B19" s="6"/>
      <c r="C19" s="12" t="str">
        <f aca="false">IF(B19="","",IFERROR(INDEX('Silver Registry'!$B$4:$B$103,MATCH(B19,'Silver Registry'!$A$4:$A$103,0)),"Not found"))</f>
        <v/>
      </c>
      <c r="D19" s="6"/>
      <c r="E19" s="13" t="str">
        <f aca="false">IF(D19="","",IFERROR(INDEX('Reference Tables'!$B$3:$B$8,MATCH(D19,'Reference Tables'!$A$3:$A$8,0)),"Invalid package"))</f>
        <v/>
      </c>
      <c r="F19" s="12" t="str">
        <f aca="false">IF(D19="","",IFERROR(INDEX('Reference Tables'!$C$3:$C$8,MATCH(D19,'Reference Tables'!$A$3:$A$8,0)),"Invalid package"))</f>
        <v/>
      </c>
      <c r="G19" s="14" t="str">
        <f aca="false">IF(E19="","",'Reference Tables'!$C$14)</f>
        <v/>
      </c>
      <c r="H19" s="12" t="str">
        <f aca="false">IF(E19="","",IF(E19&gt;=150,"Yes","No"))</f>
        <v/>
      </c>
      <c r="I19" s="13" t="str">
        <f aca="false">IF(E19="","",IF(H19="Yes",E19*G19,0))</f>
        <v/>
      </c>
      <c r="J19" s="13" t="str">
        <f aca="false">IF(E19="","",E19-I19)</f>
        <v/>
      </c>
      <c r="K19" s="6"/>
      <c r="L19" s="6"/>
    </row>
    <row r="20" customFormat="false" ht="15" hidden="false" customHeight="false" outlineLevel="0" collapsed="false">
      <c r="A20" s="11"/>
      <c r="B20" s="6"/>
      <c r="C20" s="12" t="str">
        <f aca="false">IF(B20="","",IFERROR(INDEX('Silver Registry'!$B$4:$B$103,MATCH(B20,'Silver Registry'!$A$4:$A$103,0)),"Not found"))</f>
        <v/>
      </c>
      <c r="D20" s="6"/>
      <c r="E20" s="13" t="str">
        <f aca="false">IF(D20="","",IFERROR(INDEX('Reference Tables'!$B$3:$B$8,MATCH(D20,'Reference Tables'!$A$3:$A$8,0)),"Invalid package"))</f>
        <v/>
      </c>
      <c r="F20" s="12" t="str">
        <f aca="false">IF(D20="","",IFERROR(INDEX('Reference Tables'!$C$3:$C$8,MATCH(D20,'Reference Tables'!$A$3:$A$8,0)),"Invalid package"))</f>
        <v/>
      </c>
      <c r="G20" s="14" t="str">
        <f aca="false">IF(E20="","",'Reference Tables'!$C$14)</f>
        <v/>
      </c>
      <c r="H20" s="12" t="str">
        <f aca="false">IF(E20="","",IF(E20&gt;=150,"Yes","No"))</f>
        <v/>
      </c>
      <c r="I20" s="13" t="str">
        <f aca="false">IF(E20="","",IF(H20="Yes",E20*G20,0))</f>
        <v/>
      </c>
      <c r="J20" s="13" t="str">
        <f aca="false">IF(E20="","",E20-I20)</f>
        <v/>
      </c>
      <c r="K20" s="6"/>
      <c r="L20" s="6"/>
    </row>
    <row r="21" customFormat="false" ht="15" hidden="false" customHeight="false" outlineLevel="0" collapsed="false">
      <c r="A21" s="11"/>
      <c r="B21" s="6"/>
      <c r="C21" s="12" t="str">
        <f aca="false">IF(B21="","",IFERROR(INDEX('Silver Registry'!$B$4:$B$103,MATCH(B21,'Silver Registry'!$A$4:$A$103,0)),"Not found"))</f>
        <v/>
      </c>
      <c r="D21" s="6"/>
      <c r="E21" s="13" t="str">
        <f aca="false">IF(D21="","",IFERROR(INDEX('Reference Tables'!$B$3:$B$8,MATCH(D21,'Reference Tables'!$A$3:$A$8,0)),"Invalid package"))</f>
        <v/>
      </c>
      <c r="F21" s="12" t="str">
        <f aca="false">IF(D21="","",IFERROR(INDEX('Reference Tables'!$C$3:$C$8,MATCH(D21,'Reference Tables'!$A$3:$A$8,0)),"Invalid package"))</f>
        <v/>
      </c>
      <c r="G21" s="14" t="str">
        <f aca="false">IF(E21="","",'Reference Tables'!$C$14)</f>
        <v/>
      </c>
      <c r="H21" s="12" t="str">
        <f aca="false">IF(E21="","",IF(E21&gt;=150,"Yes","No"))</f>
        <v/>
      </c>
      <c r="I21" s="13" t="str">
        <f aca="false">IF(E21="","",IF(H21="Yes",E21*G21,0))</f>
        <v/>
      </c>
      <c r="J21" s="13" t="str">
        <f aca="false">IF(E21="","",E21-I21)</f>
        <v/>
      </c>
      <c r="K21" s="6"/>
      <c r="L21" s="6"/>
    </row>
    <row r="22" customFormat="false" ht="15" hidden="false" customHeight="false" outlineLevel="0" collapsed="false">
      <c r="A22" s="11"/>
      <c r="B22" s="6"/>
      <c r="C22" s="12" t="str">
        <f aca="false">IF(B22="","",IFERROR(INDEX('Silver Registry'!$B$4:$B$103,MATCH(B22,'Silver Registry'!$A$4:$A$103,0)),"Not found"))</f>
        <v/>
      </c>
      <c r="D22" s="6"/>
      <c r="E22" s="13" t="str">
        <f aca="false">IF(D22="","",IFERROR(INDEX('Reference Tables'!$B$3:$B$8,MATCH(D22,'Reference Tables'!$A$3:$A$8,0)),"Invalid package"))</f>
        <v/>
      </c>
      <c r="F22" s="12" t="str">
        <f aca="false">IF(D22="","",IFERROR(INDEX('Reference Tables'!$C$3:$C$8,MATCH(D22,'Reference Tables'!$A$3:$A$8,0)),"Invalid package"))</f>
        <v/>
      </c>
      <c r="G22" s="14" t="str">
        <f aca="false">IF(E22="","",'Reference Tables'!$C$14)</f>
        <v/>
      </c>
      <c r="H22" s="12" t="str">
        <f aca="false">IF(E22="","",IF(E22&gt;=150,"Yes","No"))</f>
        <v/>
      </c>
      <c r="I22" s="13" t="str">
        <f aca="false">IF(E22="","",IF(H22="Yes",E22*G22,0))</f>
        <v/>
      </c>
      <c r="J22" s="13" t="str">
        <f aca="false">IF(E22="","",E22-I22)</f>
        <v/>
      </c>
      <c r="K22" s="6"/>
      <c r="L22" s="6"/>
    </row>
    <row r="23" customFormat="false" ht="15" hidden="false" customHeight="false" outlineLevel="0" collapsed="false">
      <c r="A23" s="11"/>
      <c r="B23" s="6"/>
      <c r="C23" s="12" t="str">
        <f aca="false">IF(B23="","",IFERROR(INDEX('Silver Registry'!$B$4:$B$103,MATCH(B23,'Silver Registry'!$A$4:$A$103,0)),"Not found"))</f>
        <v/>
      </c>
      <c r="D23" s="6"/>
      <c r="E23" s="13" t="str">
        <f aca="false">IF(D23="","",IFERROR(INDEX('Reference Tables'!$B$3:$B$8,MATCH(D23,'Reference Tables'!$A$3:$A$8,0)),"Invalid package"))</f>
        <v/>
      </c>
      <c r="F23" s="12" t="str">
        <f aca="false">IF(D23="","",IFERROR(INDEX('Reference Tables'!$C$3:$C$8,MATCH(D23,'Reference Tables'!$A$3:$A$8,0)),"Invalid package"))</f>
        <v/>
      </c>
      <c r="G23" s="14" t="str">
        <f aca="false">IF(E23="","",'Reference Tables'!$C$14)</f>
        <v/>
      </c>
      <c r="H23" s="12" t="str">
        <f aca="false">IF(E23="","",IF(E23&gt;=150,"Yes","No"))</f>
        <v/>
      </c>
      <c r="I23" s="13" t="str">
        <f aca="false">IF(E23="","",IF(H23="Yes",E23*G23,0))</f>
        <v/>
      </c>
      <c r="J23" s="13" t="str">
        <f aca="false">IF(E23="","",E23-I23)</f>
        <v/>
      </c>
      <c r="K23" s="6"/>
      <c r="L23" s="6"/>
    </row>
    <row r="24" customFormat="false" ht="15" hidden="false" customHeight="false" outlineLevel="0" collapsed="false">
      <c r="A24" s="11"/>
      <c r="B24" s="6"/>
      <c r="C24" s="12" t="str">
        <f aca="false">IF(B24="","",IFERROR(INDEX('Silver Registry'!$B$4:$B$103,MATCH(B24,'Silver Registry'!$A$4:$A$103,0)),"Not found"))</f>
        <v/>
      </c>
      <c r="D24" s="6"/>
      <c r="E24" s="13" t="str">
        <f aca="false">IF(D24="","",IFERROR(INDEX('Reference Tables'!$B$3:$B$8,MATCH(D24,'Reference Tables'!$A$3:$A$8,0)),"Invalid package"))</f>
        <v/>
      </c>
      <c r="F24" s="12" t="str">
        <f aca="false">IF(D24="","",IFERROR(INDEX('Reference Tables'!$C$3:$C$8,MATCH(D24,'Reference Tables'!$A$3:$A$8,0)),"Invalid package"))</f>
        <v/>
      </c>
      <c r="G24" s="14" t="str">
        <f aca="false">IF(E24="","",'Reference Tables'!$C$14)</f>
        <v/>
      </c>
      <c r="H24" s="12" t="str">
        <f aca="false">IF(E24="","",IF(E24&gt;=150,"Yes","No"))</f>
        <v/>
      </c>
      <c r="I24" s="13" t="str">
        <f aca="false">IF(E24="","",IF(H24="Yes",E24*G24,0))</f>
        <v/>
      </c>
      <c r="J24" s="13" t="str">
        <f aca="false">IF(E24="","",E24-I24)</f>
        <v/>
      </c>
      <c r="K24" s="6"/>
      <c r="L24" s="6"/>
    </row>
    <row r="25" customFormat="false" ht="15" hidden="false" customHeight="false" outlineLevel="0" collapsed="false">
      <c r="A25" s="11"/>
      <c r="B25" s="6"/>
      <c r="C25" s="12" t="str">
        <f aca="false">IF(B25="","",IFERROR(INDEX('Silver Registry'!$B$4:$B$103,MATCH(B25,'Silver Registry'!$A$4:$A$103,0)),"Not found"))</f>
        <v/>
      </c>
      <c r="D25" s="6"/>
      <c r="E25" s="13" t="str">
        <f aca="false">IF(D25="","",IFERROR(INDEX('Reference Tables'!$B$3:$B$8,MATCH(D25,'Reference Tables'!$A$3:$A$8,0)),"Invalid package"))</f>
        <v/>
      </c>
      <c r="F25" s="12" t="str">
        <f aca="false">IF(D25="","",IFERROR(INDEX('Reference Tables'!$C$3:$C$8,MATCH(D25,'Reference Tables'!$A$3:$A$8,0)),"Invalid package"))</f>
        <v/>
      </c>
      <c r="G25" s="14" t="str">
        <f aca="false">IF(E25="","",'Reference Tables'!$C$14)</f>
        <v/>
      </c>
      <c r="H25" s="12" t="str">
        <f aca="false">IF(E25="","",IF(E25&gt;=150,"Yes","No"))</f>
        <v/>
      </c>
      <c r="I25" s="13" t="str">
        <f aca="false">IF(E25="","",IF(H25="Yes",E25*G25,0))</f>
        <v/>
      </c>
      <c r="J25" s="13" t="str">
        <f aca="false">IF(E25="","",E25-I25)</f>
        <v/>
      </c>
      <c r="K25" s="6"/>
      <c r="L25" s="6"/>
    </row>
    <row r="26" customFormat="false" ht="15" hidden="false" customHeight="false" outlineLevel="0" collapsed="false">
      <c r="A26" s="11"/>
      <c r="B26" s="6"/>
      <c r="C26" s="12" t="str">
        <f aca="false">IF(B26="","",IFERROR(INDEX('Silver Registry'!$B$4:$B$103,MATCH(B26,'Silver Registry'!$A$4:$A$103,0)),"Not found"))</f>
        <v/>
      </c>
      <c r="D26" s="6"/>
      <c r="E26" s="13" t="str">
        <f aca="false">IF(D26="","",IFERROR(INDEX('Reference Tables'!$B$3:$B$8,MATCH(D26,'Reference Tables'!$A$3:$A$8,0)),"Invalid package"))</f>
        <v/>
      </c>
      <c r="F26" s="12" t="str">
        <f aca="false">IF(D26="","",IFERROR(INDEX('Reference Tables'!$C$3:$C$8,MATCH(D26,'Reference Tables'!$A$3:$A$8,0)),"Invalid package"))</f>
        <v/>
      </c>
      <c r="G26" s="14" t="str">
        <f aca="false">IF(E26="","",'Reference Tables'!$C$14)</f>
        <v/>
      </c>
      <c r="H26" s="12" t="str">
        <f aca="false">IF(E26="","",IF(E26&gt;=150,"Yes","No"))</f>
        <v/>
      </c>
      <c r="I26" s="13" t="str">
        <f aca="false">IF(E26="","",IF(H26="Yes",E26*G26,0))</f>
        <v/>
      </c>
      <c r="J26" s="13" t="str">
        <f aca="false">IF(E26="","",E26-I26)</f>
        <v/>
      </c>
      <c r="K26" s="6"/>
      <c r="L26" s="6"/>
    </row>
    <row r="27" customFormat="false" ht="15" hidden="false" customHeight="false" outlineLevel="0" collapsed="false">
      <c r="A27" s="11"/>
      <c r="B27" s="6"/>
      <c r="C27" s="12" t="str">
        <f aca="false">IF(B27="","",IFERROR(INDEX('Silver Registry'!$B$4:$B$103,MATCH(B27,'Silver Registry'!$A$4:$A$103,0)),"Not found"))</f>
        <v/>
      </c>
      <c r="D27" s="6"/>
      <c r="E27" s="13" t="str">
        <f aca="false">IF(D27="","",IFERROR(INDEX('Reference Tables'!$B$3:$B$8,MATCH(D27,'Reference Tables'!$A$3:$A$8,0)),"Invalid package"))</f>
        <v/>
      </c>
      <c r="F27" s="12" t="str">
        <f aca="false">IF(D27="","",IFERROR(INDEX('Reference Tables'!$C$3:$C$8,MATCH(D27,'Reference Tables'!$A$3:$A$8,0)),"Invalid package"))</f>
        <v/>
      </c>
      <c r="G27" s="14" t="str">
        <f aca="false">IF(E27="","",'Reference Tables'!$C$14)</f>
        <v/>
      </c>
      <c r="H27" s="12" t="str">
        <f aca="false">IF(E27="","",IF(E27&gt;=150,"Yes","No"))</f>
        <v/>
      </c>
      <c r="I27" s="13" t="str">
        <f aca="false">IF(E27="","",IF(H27="Yes",E27*G27,0))</f>
        <v/>
      </c>
      <c r="J27" s="13" t="str">
        <f aca="false">IF(E27="","",E27-I27)</f>
        <v/>
      </c>
      <c r="K27" s="6"/>
      <c r="L27" s="6"/>
    </row>
    <row r="28" customFormat="false" ht="15" hidden="false" customHeight="false" outlineLevel="0" collapsed="false">
      <c r="A28" s="11"/>
      <c r="B28" s="6"/>
      <c r="C28" s="12" t="str">
        <f aca="false">IF(B28="","",IFERROR(INDEX('Silver Registry'!$B$4:$B$103,MATCH(B28,'Silver Registry'!$A$4:$A$103,0)),"Not found"))</f>
        <v/>
      </c>
      <c r="D28" s="6"/>
      <c r="E28" s="13" t="str">
        <f aca="false">IF(D28="","",IFERROR(INDEX('Reference Tables'!$B$3:$B$8,MATCH(D28,'Reference Tables'!$A$3:$A$8,0)),"Invalid package"))</f>
        <v/>
      </c>
      <c r="F28" s="12" t="str">
        <f aca="false">IF(D28="","",IFERROR(INDEX('Reference Tables'!$C$3:$C$8,MATCH(D28,'Reference Tables'!$A$3:$A$8,0)),"Invalid package"))</f>
        <v/>
      </c>
      <c r="G28" s="14" t="str">
        <f aca="false">IF(E28="","",'Reference Tables'!$C$14)</f>
        <v/>
      </c>
      <c r="H28" s="12" t="str">
        <f aca="false">IF(E28="","",IF(E28&gt;=150,"Yes","No"))</f>
        <v/>
      </c>
      <c r="I28" s="13" t="str">
        <f aca="false">IF(E28="","",IF(H28="Yes",E28*G28,0))</f>
        <v/>
      </c>
      <c r="J28" s="13" t="str">
        <f aca="false">IF(E28="","",E28-I28)</f>
        <v/>
      </c>
      <c r="K28" s="6"/>
      <c r="L28" s="6"/>
    </row>
    <row r="29" customFormat="false" ht="15" hidden="false" customHeight="false" outlineLevel="0" collapsed="false">
      <c r="A29" s="11"/>
      <c r="B29" s="6"/>
      <c r="C29" s="12" t="str">
        <f aca="false">IF(B29="","",IFERROR(INDEX('Silver Registry'!$B$4:$B$103,MATCH(B29,'Silver Registry'!$A$4:$A$103,0)),"Not found"))</f>
        <v/>
      </c>
      <c r="D29" s="6"/>
      <c r="E29" s="13" t="str">
        <f aca="false">IF(D29="","",IFERROR(INDEX('Reference Tables'!$B$3:$B$8,MATCH(D29,'Reference Tables'!$A$3:$A$8,0)),"Invalid package"))</f>
        <v/>
      </c>
      <c r="F29" s="12" t="str">
        <f aca="false">IF(D29="","",IFERROR(INDEX('Reference Tables'!$C$3:$C$8,MATCH(D29,'Reference Tables'!$A$3:$A$8,0)),"Invalid package"))</f>
        <v/>
      </c>
      <c r="G29" s="14" t="str">
        <f aca="false">IF(E29="","",'Reference Tables'!$C$14)</f>
        <v/>
      </c>
      <c r="H29" s="12" t="str">
        <f aca="false">IF(E29="","",IF(E29&gt;=150,"Yes","No"))</f>
        <v/>
      </c>
      <c r="I29" s="13" t="str">
        <f aca="false">IF(E29="","",IF(H29="Yes",E29*G29,0))</f>
        <v/>
      </c>
      <c r="J29" s="13" t="str">
        <f aca="false">IF(E29="","",E29-I29)</f>
        <v/>
      </c>
      <c r="K29" s="6"/>
      <c r="L29" s="6"/>
    </row>
    <row r="30" customFormat="false" ht="15" hidden="false" customHeight="false" outlineLevel="0" collapsed="false">
      <c r="A30" s="11"/>
      <c r="B30" s="6"/>
      <c r="C30" s="12" t="str">
        <f aca="false">IF(B30="","",IFERROR(INDEX('Silver Registry'!$B$4:$B$103,MATCH(B30,'Silver Registry'!$A$4:$A$103,0)),"Not found"))</f>
        <v/>
      </c>
      <c r="D30" s="6"/>
      <c r="E30" s="13" t="str">
        <f aca="false">IF(D30="","",IFERROR(INDEX('Reference Tables'!$B$3:$B$8,MATCH(D30,'Reference Tables'!$A$3:$A$8,0)),"Invalid package"))</f>
        <v/>
      </c>
      <c r="F30" s="12" t="str">
        <f aca="false">IF(D30="","",IFERROR(INDEX('Reference Tables'!$C$3:$C$8,MATCH(D30,'Reference Tables'!$A$3:$A$8,0)),"Invalid package"))</f>
        <v/>
      </c>
      <c r="G30" s="14" t="str">
        <f aca="false">IF(E30="","",'Reference Tables'!$C$14)</f>
        <v/>
      </c>
      <c r="H30" s="12" t="str">
        <f aca="false">IF(E30="","",IF(E30&gt;=150,"Yes","No"))</f>
        <v/>
      </c>
      <c r="I30" s="13" t="str">
        <f aca="false">IF(E30="","",IF(H30="Yes",E30*G30,0))</f>
        <v/>
      </c>
      <c r="J30" s="13" t="str">
        <f aca="false">IF(E30="","",E30-I30)</f>
        <v/>
      </c>
      <c r="K30" s="6"/>
      <c r="L30" s="6"/>
    </row>
    <row r="31" customFormat="false" ht="15" hidden="false" customHeight="false" outlineLevel="0" collapsed="false">
      <c r="A31" s="11"/>
      <c r="B31" s="6"/>
      <c r="C31" s="12" t="str">
        <f aca="false">IF(B31="","",IFERROR(INDEX('Silver Registry'!$B$4:$B$103,MATCH(B31,'Silver Registry'!$A$4:$A$103,0)),"Not found"))</f>
        <v/>
      </c>
      <c r="D31" s="6"/>
      <c r="E31" s="13" t="str">
        <f aca="false">IF(D31="","",IFERROR(INDEX('Reference Tables'!$B$3:$B$8,MATCH(D31,'Reference Tables'!$A$3:$A$8,0)),"Invalid package"))</f>
        <v/>
      </c>
      <c r="F31" s="12" t="str">
        <f aca="false">IF(D31="","",IFERROR(INDEX('Reference Tables'!$C$3:$C$8,MATCH(D31,'Reference Tables'!$A$3:$A$8,0)),"Invalid package"))</f>
        <v/>
      </c>
      <c r="G31" s="14" t="str">
        <f aca="false">IF(E31="","",'Reference Tables'!$C$14)</f>
        <v/>
      </c>
      <c r="H31" s="12" t="str">
        <f aca="false">IF(E31="","",IF(E31&gt;=150,"Yes","No"))</f>
        <v/>
      </c>
      <c r="I31" s="13" t="str">
        <f aca="false">IF(E31="","",IF(H31="Yes",E31*G31,0))</f>
        <v/>
      </c>
      <c r="J31" s="13" t="str">
        <f aca="false">IF(E31="","",E31-I31)</f>
        <v/>
      </c>
      <c r="K31" s="6"/>
      <c r="L31" s="6"/>
    </row>
    <row r="32" customFormat="false" ht="15" hidden="false" customHeight="false" outlineLevel="0" collapsed="false">
      <c r="A32" s="11"/>
      <c r="B32" s="6"/>
      <c r="C32" s="12" t="str">
        <f aca="false">IF(B32="","",IFERROR(INDEX('Silver Registry'!$B$4:$B$103,MATCH(B32,'Silver Registry'!$A$4:$A$103,0)),"Not found"))</f>
        <v/>
      </c>
      <c r="D32" s="6"/>
      <c r="E32" s="13" t="str">
        <f aca="false">IF(D32="","",IFERROR(INDEX('Reference Tables'!$B$3:$B$8,MATCH(D32,'Reference Tables'!$A$3:$A$8,0)),"Invalid package"))</f>
        <v/>
      </c>
      <c r="F32" s="12" t="str">
        <f aca="false">IF(D32="","",IFERROR(INDEX('Reference Tables'!$C$3:$C$8,MATCH(D32,'Reference Tables'!$A$3:$A$8,0)),"Invalid package"))</f>
        <v/>
      </c>
      <c r="G32" s="14" t="str">
        <f aca="false">IF(E32="","",'Reference Tables'!$C$14)</f>
        <v/>
      </c>
      <c r="H32" s="12" t="str">
        <f aca="false">IF(E32="","",IF(E32&gt;=150,"Yes","No"))</f>
        <v/>
      </c>
      <c r="I32" s="13" t="str">
        <f aca="false">IF(E32="","",IF(H32="Yes",E32*G32,0))</f>
        <v/>
      </c>
      <c r="J32" s="13" t="str">
        <f aca="false">IF(E32="","",E32-I32)</f>
        <v/>
      </c>
      <c r="K32" s="6"/>
      <c r="L32" s="6"/>
    </row>
    <row r="33" customFormat="false" ht="15" hidden="false" customHeight="false" outlineLevel="0" collapsed="false">
      <c r="A33" s="11"/>
      <c r="B33" s="6"/>
      <c r="C33" s="12" t="str">
        <f aca="false">IF(B33="","",IFERROR(INDEX('Silver Registry'!$B$4:$B$103,MATCH(B33,'Silver Registry'!$A$4:$A$103,0)),"Not found"))</f>
        <v/>
      </c>
      <c r="D33" s="6"/>
      <c r="E33" s="13" t="str">
        <f aca="false">IF(D33="","",IFERROR(INDEX('Reference Tables'!$B$3:$B$8,MATCH(D33,'Reference Tables'!$A$3:$A$8,0)),"Invalid package"))</f>
        <v/>
      </c>
      <c r="F33" s="12" t="str">
        <f aca="false">IF(D33="","",IFERROR(INDEX('Reference Tables'!$C$3:$C$8,MATCH(D33,'Reference Tables'!$A$3:$A$8,0)),"Invalid package"))</f>
        <v/>
      </c>
      <c r="G33" s="14" t="str">
        <f aca="false">IF(E33="","",'Reference Tables'!$C$14)</f>
        <v/>
      </c>
      <c r="H33" s="12" t="str">
        <f aca="false">IF(E33="","",IF(E33&gt;=150,"Yes","No"))</f>
        <v/>
      </c>
      <c r="I33" s="13" t="str">
        <f aca="false">IF(E33="","",IF(H33="Yes",E33*G33,0))</f>
        <v/>
      </c>
      <c r="J33" s="13" t="str">
        <f aca="false">IF(E33="","",E33-I33)</f>
        <v/>
      </c>
      <c r="K33" s="6"/>
      <c r="L33" s="6"/>
    </row>
    <row r="34" customFormat="false" ht="15" hidden="false" customHeight="false" outlineLevel="0" collapsed="false">
      <c r="A34" s="11"/>
      <c r="B34" s="6"/>
      <c r="C34" s="12" t="str">
        <f aca="false">IF(B34="","",IFERROR(INDEX('Silver Registry'!$B$4:$B$103,MATCH(B34,'Silver Registry'!$A$4:$A$103,0)),"Not found"))</f>
        <v/>
      </c>
      <c r="D34" s="6"/>
      <c r="E34" s="13" t="str">
        <f aca="false">IF(D34="","",IFERROR(INDEX('Reference Tables'!$B$3:$B$8,MATCH(D34,'Reference Tables'!$A$3:$A$8,0)),"Invalid package"))</f>
        <v/>
      </c>
      <c r="F34" s="12" t="str">
        <f aca="false">IF(D34="","",IFERROR(INDEX('Reference Tables'!$C$3:$C$8,MATCH(D34,'Reference Tables'!$A$3:$A$8,0)),"Invalid package"))</f>
        <v/>
      </c>
      <c r="G34" s="14" t="str">
        <f aca="false">IF(E34="","",'Reference Tables'!$C$14)</f>
        <v/>
      </c>
      <c r="H34" s="12" t="str">
        <f aca="false">IF(E34="","",IF(E34&gt;=150,"Yes","No"))</f>
        <v/>
      </c>
      <c r="I34" s="13" t="str">
        <f aca="false">IF(E34="","",IF(H34="Yes",E34*G34,0))</f>
        <v/>
      </c>
      <c r="J34" s="13" t="str">
        <f aca="false">IF(E34="","",E34-I34)</f>
        <v/>
      </c>
      <c r="K34" s="6"/>
      <c r="L34" s="6"/>
    </row>
    <row r="35" customFormat="false" ht="15" hidden="false" customHeight="false" outlineLevel="0" collapsed="false">
      <c r="A35" s="11"/>
      <c r="B35" s="6"/>
      <c r="C35" s="12" t="str">
        <f aca="false">IF(B35="","",IFERROR(INDEX('Silver Registry'!$B$4:$B$103,MATCH(B35,'Silver Registry'!$A$4:$A$103,0)),"Not found"))</f>
        <v/>
      </c>
      <c r="D35" s="6"/>
      <c r="E35" s="13" t="str">
        <f aca="false">IF(D35="","",IFERROR(INDEX('Reference Tables'!$B$3:$B$8,MATCH(D35,'Reference Tables'!$A$3:$A$8,0)),"Invalid package"))</f>
        <v/>
      </c>
      <c r="F35" s="12" t="str">
        <f aca="false">IF(D35="","",IFERROR(INDEX('Reference Tables'!$C$3:$C$8,MATCH(D35,'Reference Tables'!$A$3:$A$8,0)),"Invalid package"))</f>
        <v/>
      </c>
      <c r="G35" s="14" t="str">
        <f aca="false">IF(E35="","",'Reference Tables'!$C$14)</f>
        <v/>
      </c>
      <c r="H35" s="12" t="str">
        <f aca="false">IF(E35="","",IF(E35&gt;=150,"Yes","No"))</f>
        <v/>
      </c>
      <c r="I35" s="13" t="str">
        <f aca="false">IF(E35="","",IF(H35="Yes",E35*G35,0))</f>
        <v/>
      </c>
      <c r="J35" s="13" t="str">
        <f aca="false">IF(E35="","",E35-I35)</f>
        <v/>
      </c>
      <c r="K35" s="6"/>
      <c r="L35" s="6"/>
    </row>
    <row r="36" customFormat="false" ht="15" hidden="false" customHeight="false" outlineLevel="0" collapsed="false">
      <c r="A36" s="11"/>
      <c r="B36" s="6"/>
      <c r="C36" s="12" t="str">
        <f aca="false">IF(B36="","",IFERROR(INDEX('Silver Registry'!$B$4:$B$103,MATCH(B36,'Silver Registry'!$A$4:$A$103,0)),"Not found"))</f>
        <v/>
      </c>
      <c r="D36" s="6"/>
      <c r="E36" s="13" t="str">
        <f aca="false">IF(D36="","",IFERROR(INDEX('Reference Tables'!$B$3:$B$8,MATCH(D36,'Reference Tables'!$A$3:$A$8,0)),"Invalid package"))</f>
        <v/>
      </c>
      <c r="F36" s="12" t="str">
        <f aca="false">IF(D36="","",IFERROR(INDEX('Reference Tables'!$C$3:$C$8,MATCH(D36,'Reference Tables'!$A$3:$A$8,0)),"Invalid package"))</f>
        <v/>
      </c>
      <c r="G36" s="14" t="str">
        <f aca="false">IF(E36="","",'Reference Tables'!$C$14)</f>
        <v/>
      </c>
      <c r="H36" s="12" t="str">
        <f aca="false">IF(E36="","",IF(E36&gt;=150,"Yes","No"))</f>
        <v/>
      </c>
      <c r="I36" s="13" t="str">
        <f aca="false">IF(E36="","",IF(H36="Yes",E36*G36,0))</f>
        <v/>
      </c>
      <c r="J36" s="13" t="str">
        <f aca="false">IF(E36="","",E36-I36)</f>
        <v/>
      </c>
      <c r="K36" s="6"/>
      <c r="L36" s="6"/>
    </row>
    <row r="37" customFormat="false" ht="15" hidden="false" customHeight="false" outlineLevel="0" collapsed="false">
      <c r="A37" s="11"/>
      <c r="B37" s="6"/>
      <c r="C37" s="12" t="str">
        <f aca="false">IF(B37="","",IFERROR(INDEX('Silver Registry'!$B$4:$B$103,MATCH(B37,'Silver Registry'!$A$4:$A$103,0)),"Not found"))</f>
        <v/>
      </c>
      <c r="D37" s="6"/>
      <c r="E37" s="13" t="str">
        <f aca="false">IF(D37="","",IFERROR(INDEX('Reference Tables'!$B$3:$B$8,MATCH(D37,'Reference Tables'!$A$3:$A$8,0)),"Invalid package"))</f>
        <v/>
      </c>
      <c r="F37" s="12" t="str">
        <f aca="false">IF(D37="","",IFERROR(INDEX('Reference Tables'!$C$3:$C$8,MATCH(D37,'Reference Tables'!$A$3:$A$8,0)),"Invalid package"))</f>
        <v/>
      </c>
      <c r="G37" s="14" t="str">
        <f aca="false">IF(E37="","",'Reference Tables'!$C$14)</f>
        <v/>
      </c>
      <c r="H37" s="12" t="str">
        <f aca="false">IF(E37="","",IF(E37&gt;=150,"Yes","No"))</f>
        <v/>
      </c>
      <c r="I37" s="13" t="str">
        <f aca="false">IF(E37="","",IF(H37="Yes",E37*G37,0))</f>
        <v/>
      </c>
      <c r="J37" s="13" t="str">
        <f aca="false">IF(E37="","",E37-I37)</f>
        <v/>
      </c>
      <c r="K37" s="6"/>
      <c r="L37" s="6"/>
    </row>
    <row r="38" customFormat="false" ht="15" hidden="false" customHeight="false" outlineLevel="0" collapsed="false">
      <c r="A38" s="11"/>
      <c r="B38" s="6"/>
      <c r="C38" s="12" t="str">
        <f aca="false">IF(B38="","",IFERROR(INDEX('Silver Registry'!$B$4:$B$103,MATCH(B38,'Silver Registry'!$A$4:$A$103,0)),"Not found"))</f>
        <v/>
      </c>
      <c r="D38" s="6"/>
      <c r="E38" s="13" t="str">
        <f aca="false">IF(D38="","",IFERROR(INDEX('Reference Tables'!$B$3:$B$8,MATCH(D38,'Reference Tables'!$A$3:$A$8,0)),"Invalid package"))</f>
        <v/>
      </c>
      <c r="F38" s="12" t="str">
        <f aca="false">IF(D38="","",IFERROR(INDEX('Reference Tables'!$C$3:$C$8,MATCH(D38,'Reference Tables'!$A$3:$A$8,0)),"Invalid package"))</f>
        <v/>
      </c>
      <c r="G38" s="14" t="str">
        <f aca="false">IF(E38="","",'Reference Tables'!$C$14)</f>
        <v/>
      </c>
      <c r="H38" s="12" t="str">
        <f aca="false">IF(E38="","",IF(E38&gt;=150,"Yes","No"))</f>
        <v/>
      </c>
      <c r="I38" s="13" t="str">
        <f aca="false">IF(E38="","",IF(H38="Yes",E38*G38,0))</f>
        <v/>
      </c>
      <c r="J38" s="13" t="str">
        <f aca="false">IF(E38="","",E38-I38)</f>
        <v/>
      </c>
      <c r="K38" s="6"/>
      <c r="L38" s="6"/>
    </row>
    <row r="39" customFormat="false" ht="15" hidden="false" customHeight="false" outlineLevel="0" collapsed="false">
      <c r="A39" s="11"/>
      <c r="B39" s="6"/>
      <c r="C39" s="12" t="str">
        <f aca="false">IF(B39="","",IFERROR(INDEX('Silver Registry'!$B$4:$B$103,MATCH(B39,'Silver Registry'!$A$4:$A$103,0)),"Not found"))</f>
        <v/>
      </c>
      <c r="D39" s="6"/>
      <c r="E39" s="13" t="str">
        <f aca="false">IF(D39="","",IFERROR(INDEX('Reference Tables'!$B$3:$B$8,MATCH(D39,'Reference Tables'!$A$3:$A$8,0)),"Invalid package"))</f>
        <v/>
      </c>
      <c r="F39" s="12" t="str">
        <f aca="false">IF(D39="","",IFERROR(INDEX('Reference Tables'!$C$3:$C$8,MATCH(D39,'Reference Tables'!$A$3:$A$8,0)),"Invalid package"))</f>
        <v/>
      </c>
      <c r="G39" s="14" t="str">
        <f aca="false">IF(E39="","",'Reference Tables'!$C$14)</f>
        <v/>
      </c>
      <c r="H39" s="12" t="str">
        <f aca="false">IF(E39="","",IF(E39&gt;=150,"Yes","No"))</f>
        <v/>
      </c>
      <c r="I39" s="13" t="str">
        <f aca="false">IF(E39="","",IF(H39="Yes",E39*G39,0))</f>
        <v/>
      </c>
      <c r="J39" s="13" t="str">
        <f aca="false">IF(E39="","",E39-I39)</f>
        <v/>
      </c>
      <c r="K39" s="6"/>
      <c r="L39" s="6"/>
    </row>
    <row r="40" customFormat="false" ht="15" hidden="false" customHeight="false" outlineLevel="0" collapsed="false">
      <c r="A40" s="11"/>
      <c r="B40" s="6"/>
      <c r="C40" s="12" t="str">
        <f aca="false">IF(B40="","",IFERROR(INDEX('Silver Registry'!$B$4:$B$103,MATCH(B40,'Silver Registry'!$A$4:$A$103,0)),"Not found"))</f>
        <v/>
      </c>
      <c r="D40" s="6"/>
      <c r="E40" s="13" t="str">
        <f aca="false">IF(D40="","",IFERROR(INDEX('Reference Tables'!$B$3:$B$8,MATCH(D40,'Reference Tables'!$A$3:$A$8,0)),"Invalid package"))</f>
        <v/>
      </c>
      <c r="F40" s="12" t="str">
        <f aca="false">IF(D40="","",IFERROR(INDEX('Reference Tables'!$C$3:$C$8,MATCH(D40,'Reference Tables'!$A$3:$A$8,0)),"Invalid package"))</f>
        <v/>
      </c>
      <c r="G40" s="14" t="str">
        <f aca="false">IF(E40="","",'Reference Tables'!$C$14)</f>
        <v/>
      </c>
      <c r="H40" s="12" t="str">
        <f aca="false">IF(E40="","",IF(E40&gt;=150,"Yes","No"))</f>
        <v/>
      </c>
      <c r="I40" s="13" t="str">
        <f aca="false">IF(E40="","",IF(H40="Yes",E40*G40,0))</f>
        <v/>
      </c>
      <c r="J40" s="13" t="str">
        <f aca="false">IF(E40="","",E40-I40)</f>
        <v/>
      </c>
      <c r="K40" s="6"/>
      <c r="L40" s="6"/>
    </row>
    <row r="41" customFormat="false" ht="15" hidden="false" customHeight="false" outlineLevel="0" collapsed="false">
      <c r="A41" s="11"/>
      <c r="B41" s="6"/>
      <c r="C41" s="12" t="str">
        <f aca="false">IF(B41="","",IFERROR(INDEX('Silver Registry'!$B$4:$B$103,MATCH(B41,'Silver Registry'!$A$4:$A$103,0)),"Not found"))</f>
        <v/>
      </c>
      <c r="D41" s="6"/>
      <c r="E41" s="13" t="str">
        <f aca="false">IF(D41="","",IFERROR(INDEX('Reference Tables'!$B$3:$B$8,MATCH(D41,'Reference Tables'!$A$3:$A$8,0)),"Invalid package"))</f>
        <v/>
      </c>
      <c r="F41" s="12" t="str">
        <f aca="false">IF(D41="","",IFERROR(INDEX('Reference Tables'!$C$3:$C$8,MATCH(D41,'Reference Tables'!$A$3:$A$8,0)),"Invalid package"))</f>
        <v/>
      </c>
      <c r="G41" s="14" t="str">
        <f aca="false">IF(E41="","",'Reference Tables'!$C$14)</f>
        <v/>
      </c>
      <c r="H41" s="12" t="str">
        <f aca="false">IF(E41="","",IF(E41&gt;=150,"Yes","No"))</f>
        <v/>
      </c>
      <c r="I41" s="13" t="str">
        <f aca="false">IF(E41="","",IF(H41="Yes",E41*G41,0))</f>
        <v/>
      </c>
      <c r="J41" s="13" t="str">
        <f aca="false">IF(E41="","",E41-I41)</f>
        <v/>
      </c>
      <c r="K41" s="6"/>
      <c r="L41" s="6"/>
    </row>
    <row r="42" customFormat="false" ht="15" hidden="false" customHeight="false" outlineLevel="0" collapsed="false">
      <c r="A42" s="11"/>
      <c r="B42" s="6"/>
      <c r="C42" s="12" t="str">
        <f aca="false">IF(B42="","",IFERROR(INDEX('Silver Registry'!$B$4:$B$103,MATCH(B42,'Silver Registry'!$A$4:$A$103,0)),"Not found"))</f>
        <v/>
      </c>
      <c r="D42" s="6"/>
      <c r="E42" s="13" t="str">
        <f aca="false">IF(D42="","",IFERROR(INDEX('Reference Tables'!$B$3:$B$8,MATCH(D42,'Reference Tables'!$A$3:$A$8,0)),"Invalid package"))</f>
        <v/>
      </c>
      <c r="F42" s="12" t="str">
        <f aca="false">IF(D42="","",IFERROR(INDEX('Reference Tables'!$C$3:$C$8,MATCH(D42,'Reference Tables'!$A$3:$A$8,0)),"Invalid package"))</f>
        <v/>
      </c>
      <c r="G42" s="14" t="str">
        <f aca="false">IF(E42="","",'Reference Tables'!$C$14)</f>
        <v/>
      </c>
      <c r="H42" s="12" t="str">
        <f aca="false">IF(E42="","",IF(E42&gt;=150,"Yes","No"))</f>
        <v/>
      </c>
      <c r="I42" s="13" t="str">
        <f aca="false">IF(E42="","",IF(H42="Yes",E42*G42,0))</f>
        <v/>
      </c>
      <c r="J42" s="13" t="str">
        <f aca="false">IF(E42="","",E42-I42)</f>
        <v/>
      </c>
      <c r="K42" s="6"/>
      <c r="L42" s="6"/>
    </row>
    <row r="43" customFormat="false" ht="15" hidden="false" customHeight="false" outlineLevel="0" collapsed="false">
      <c r="A43" s="11"/>
      <c r="B43" s="6"/>
      <c r="C43" s="12" t="str">
        <f aca="false">IF(B43="","",IFERROR(INDEX('Silver Registry'!$B$4:$B$103,MATCH(B43,'Silver Registry'!$A$4:$A$103,0)),"Not found"))</f>
        <v/>
      </c>
      <c r="D43" s="6"/>
      <c r="E43" s="13" t="str">
        <f aca="false">IF(D43="","",IFERROR(INDEX('Reference Tables'!$B$3:$B$8,MATCH(D43,'Reference Tables'!$A$3:$A$8,0)),"Invalid package"))</f>
        <v/>
      </c>
      <c r="F43" s="12" t="str">
        <f aca="false">IF(D43="","",IFERROR(INDEX('Reference Tables'!$C$3:$C$8,MATCH(D43,'Reference Tables'!$A$3:$A$8,0)),"Invalid package"))</f>
        <v/>
      </c>
      <c r="G43" s="14" t="str">
        <f aca="false">IF(E43="","",'Reference Tables'!$C$14)</f>
        <v/>
      </c>
      <c r="H43" s="12" t="str">
        <f aca="false">IF(E43="","",IF(E43&gt;=150,"Yes","No"))</f>
        <v/>
      </c>
      <c r="I43" s="13" t="str">
        <f aca="false">IF(E43="","",IF(H43="Yes",E43*G43,0))</f>
        <v/>
      </c>
      <c r="J43" s="13" t="str">
        <f aca="false">IF(E43="","",E43-I43)</f>
        <v/>
      </c>
      <c r="K43" s="6"/>
      <c r="L43" s="6"/>
    </row>
    <row r="44" customFormat="false" ht="15" hidden="false" customHeight="false" outlineLevel="0" collapsed="false">
      <c r="A44" s="11"/>
      <c r="B44" s="6"/>
      <c r="C44" s="12" t="str">
        <f aca="false">IF(B44="","",IFERROR(INDEX('Silver Registry'!$B$4:$B$103,MATCH(B44,'Silver Registry'!$A$4:$A$103,0)),"Not found"))</f>
        <v/>
      </c>
      <c r="D44" s="6"/>
      <c r="E44" s="13" t="str">
        <f aca="false">IF(D44="","",IFERROR(INDEX('Reference Tables'!$B$3:$B$8,MATCH(D44,'Reference Tables'!$A$3:$A$8,0)),"Invalid package"))</f>
        <v/>
      </c>
      <c r="F44" s="12" t="str">
        <f aca="false">IF(D44="","",IFERROR(INDEX('Reference Tables'!$C$3:$C$8,MATCH(D44,'Reference Tables'!$A$3:$A$8,0)),"Invalid package"))</f>
        <v/>
      </c>
      <c r="G44" s="14" t="str">
        <f aca="false">IF(E44="","",'Reference Tables'!$C$14)</f>
        <v/>
      </c>
      <c r="H44" s="12" t="str">
        <f aca="false">IF(E44="","",IF(E44&gt;=150,"Yes","No"))</f>
        <v/>
      </c>
      <c r="I44" s="13" t="str">
        <f aca="false">IF(E44="","",IF(H44="Yes",E44*G44,0))</f>
        <v/>
      </c>
      <c r="J44" s="13" t="str">
        <f aca="false">IF(E44="","",E44-I44)</f>
        <v/>
      </c>
      <c r="K44" s="6"/>
      <c r="L44" s="6"/>
    </row>
    <row r="45" customFormat="false" ht="15" hidden="false" customHeight="false" outlineLevel="0" collapsed="false">
      <c r="A45" s="11"/>
      <c r="B45" s="6"/>
      <c r="C45" s="12" t="str">
        <f aca="false">IF(B45="","",IFERROR(INDEX('Silver Registry'!$B$4:$B$103,MATCH(B45,'Silver Registry'!$A$4:$A$103,0)),"Not found"))</f>
        <v/>
      </c>
      <c r="D45" s="6"/>
      <c r="E45" s="13" t="str">
        <f aca="false">IF(D45="","",IFERROR(INDEX('Reference Tables'!$B$3:$B$8,MATCH(D45,'Reference Tables'!$A$3:$A$8,0)),"Invalid package"))</f>
        <v/>
      </c>
      <c r="F45" s="12" t="str">
        <f aca="false">IF(D45="","",IFERROR(INDEX('Reference Tables'!$C$3:$C$8,MATCH(D45,'Reference Tables'!$A$3:$A$8,0)),"Invalid package"))</f>
        <v/>
      </c>
      <c r="G45" s="14" t="str">
        <f aca="false">IF(E45="","",'Reference Tables'!$C$14)</f>
        <v/>
      </c>
      <c r="H45" s="12" t="str">
        <f aca="false">IF(E45="","",IF(E45&gt;=150,"Yes","No"))</f>
        <v/>
      </c>
      <c r="I45" s="13" t="str">
        <f aca="false">IF(E45="","",IF(H45="Yes",E45*G45,0))</f>
        <v/>
      </c>
      <c r="J45" s="13" t="str">
        <f aca="false">IF(E45="","",E45-I45)</f>
        <v/>
      </c>
      <c r="K45" s="6"/>
      <c r="L45" s="6"/>
    </row>
    <row r="46" customFormat="false" ht="15" hidden="false" customHeight="false" outlineLevel="0" collapsed="false">
      <c r="A46" s="11"/>
      <c r="B46" s="6"/>
      <c r="C46" s="12" t="str">
        <f aca="false">IF(B46="","",IFERROR(INDEX('Silver Registry'!$B$4:$B$103,MATCH(B46,'Silver Registry'!$A$4:$A$103,0)),"Not found"))</f>
        <v/>
      </c>
      <c r="D46" s="6"/>
      <c r="E46" s="13" t="str">
        <f aca="false">IF(D46="","",IFERROR(INDEX('Reference Tables'!$B$3:$B$8,MATCH(D46,'Reference Tables'!$A$3:$A$8,0)),"Invalid package"))</f>
        <v/>
      </c>
      <c r="F46" s="12" t="str">
        <f aca="false">IF(D46="","",IFERROR(INDEX('Reference Tables'!$C$3:$C$8,MATCH(D46,'Reference Tables'!$A$3:$A$8,0)),"Invalid package"))</f>
        <v/>
      </c>
      <c r="G46" s="14" t="str">
        <f aca="false">IF(E46="","",'Reference Tables'!$C$14)</f>
        <v/>
      </c>
      <c r="H46" s="12" t="str">
        <f aca="false">IF(E46="","",IF(E46&gt;=150,"Yes","No"))</f>
        <v/>
      </c>
      <c r="I46" s="13" t="str">
        <f aca="false">IF(E46="","",IF(H46="Yes",E46*G46,0))</f>
        <v/>
      </c>
      <c r="J46" s="13" t="str">
        <f aca="false">IF(E46="","",E46-I46)</f>
        <v/>
      </c>
      <c r="K46" s="6"/>
      <c r="L46" s="6"/>
    </row>
    <row r="47" customFormat="false" ht="15" hidden="false" customHeight="false" outlineLevel="0" collapsed="false">
      <c r="A47" s="11"/>
      <c r="B47" s="6"/>
      <c r="C47" s="12" t="str">
        <f aca="false">IF(B47="","",IFERROR(INDEX('Silver Registry'!$B$4:$B$103,MATCH(B47,'Silver Registry'!$A$4:$A$103,0)),"Not found"))</f>
        <v/>
      </c>
      <c r="D47" s="6"/>
      <c r="E47" s="13" t="str">
        <f aca="false">IF(D47="","",IFERROR(INDEX('Reference Tables'!$B$3:$B$8,MATCH(D47,'Reference Tables'!$A$3:$A$8,0)),"Invalid package"))</f>
        <v/>
      </c>
      <c r="F47" s="12" t="str">
        <f aca="false">IF(D47="","",IFERROR(INDEX('Reference Tables'!$C$3:$C$8,MATCH(D47,'Reference Tables'!$A$3:$A$8,0)),"Invalid package"))</f>
        <v/>
      </c>
      <c r="G47" s="14" t="str">
        <f aca="false">IF(E47="","",'Reference Tables'!$C$14)</f>
        <v/>
      </c>
      <c r="H47" s="12" t="str">
        <f aca="false">IF(E47="","",IF(E47&gt;=150,"Yes","No"))</f>
        <v/>
      </c>
      <c r="I47" s="13" t="str">
        <f aca="false">IF(E47="","",IF(H47="Yes",E47*G47,0))</f>
        <v/>
      </c>
      <c r="J47" s="13" t="str">
        <f aca="false">IF(E47="","",E47-I47)</f>
        <v/>
      </c>
      <c r="K47" s="6"/>
      <c r="L47" s="6"/>
    </row>
    <row r="48" customFormat="false" ht="15" hidden="false" customHeight="false" outlineLevel="0" collapsed="false">
      <c r="A48" s="11"/>
      <c r="B48" s="6"/>
      <c r="C48" s="12" t="str">
        <f aca="false">IF(B48="","",IFERROR(INDEX('Silver Registry'!$B$4:$B$103,MATCH(B48,'Silver Registry'!$A$4:$A$103,0)),"Not found"))</f>
        <v/>
      </c>
      <c r="D48" s="6"/>
      <c r="E48" s="13" t="str">
        <f aca="false">IF(D48="","",IFERROR(INDEX('Reference Tables'!$B$3:$B$8,MATCH(D48,'Reference Tables'!$A$3:$A$8,0)),"Invalid package"))</f>
        <v/>
      </c>
      <c r="F48" s="12" t="str">
        <f aca="false">IF(D48="","",IFERROR(INDEX('Reference Tables'!$C$3:$C$8,MATCH(D48,'Reference Tables'!$A$3:$A$8,0)),"Invalid package"))</f>
        <v/>
      </c>
      <c r="G48" s="14" t="str">
        <f aca="false">IF(E48="","",'Reference Tables'!$C$14)</f>
        <v/>
      </c>
      <c r="H48" s="12" t="str">
        <f aca="false">IF(E48="","",IF(E48&gt;=150,"Yes","No"))</f>
        <v/>
      </c>
      <c r="I48" s="13" t="str">
        <f aca="false">IF(E48="","",IF(H48="Yes",E48*G48,0))</f>
        <v/>
      </c>
      <c r="J48" s="13" t="str">
        <f aca="false">IF(E48="","",E48-I48)</f>
        <v/>
      </c>
      <c r="K48" s="6"/>
      <c r="L48" s="6"/>
    </row>
    <row r="49" customFormat="false" ht="15" hidden="false" customHeight="false" outlineLevel="0" collapsed="false">
      <c r="A49" s="11"/>
      <c r="B49" s="6"/>
      <c r="C49" s="12" t="str">
        <f aca="false">IF(B49="","",IFERROR(INDEX('Silver Registry'!$B$4:$B$103,MATCH(B49,'Silver Registry'!$A$4:$A$103,0)),"Not found"))</f>
        <v/>
      </c>
      <c r="D49" s="6"/>
      <c r="E49" s="13" t="str">
        <f aca="false">IF(D49="","",IFERROR(INDEX('Reference Tables'!$B$3:$B$8,MATCH(D49,'Reference Tables'!$A$3:$A$8,0)),"Invalid package"))</f>
        <v/>
      </c>
      <c r="F49" s="12" t="str">
        <f aca="false">IF(D49="","",IFERROR(INDEX('Reference Tables'!$C$3:$C$8,MATCH(D49,'Reference Tables'!$A$3:$A$8,0)),"Invalid package"))</f>
        <v/>
      </c>
      <c r="G49" s="14" t="str">
        <f aca="false">IF(E49="","",'Reference Tables'!$C$14)</f>
        <v/>
      </c>
      <c r="H49" s="12" t="str">
        <f aca="false">IF(E49="","",IF(E49&gt;=150,"Yes","No"))</f>
        <v/>
      </c>
      <c r="I49" s="13" t="str">
        <f aca="false">IF(E49="","",IF(H49="Yes",E49*G49,0))</f>
        <v/>
      </c>
      <c r="J49" s="13" t="str">
        <f aca="false">IF(E49="","",E49-I49)</f>
        <v/>
      </c>
      <c r="K49" s="6"/>
      <c r="L49" s="6"/>
    </row>
    <row r="50" customFormat="false" ht="15" hidden="false" customHeight="false" outlineLevel="0" collapsed="false">
      <c r="A50" s="11"/>
      <c r="B50" s="6"/>
      <c r="C50" s="12" t="str">
        <f aca="false">IF(B50="","",IFERROR(INDEX('Silver Registry'!$B$4:$B$103,MATCH(B50,'Silver Registry'!$A$4:$A$103,0)),"Not found"))</f>
        <v/>
      </c>
      <c r="D50" s="6"/>
      <c r="E50" s="13" t="str">
        <f aca="false">IF(D50="","",IFERROR(INDEX('Reference Tables'!$B$3:$B$8,MATCH(D50,'Reference Tables'!$A$3:$A$8,0)),"Invalid package"))</f>
        <v/>
      </c>
      <c r="F50" s="12" t="str">
        <f aca="false">IF(D50="","",IFERROR(INDEX('Reference Tables'!$C$3:$C$8,MATCH(D50,'Reference Tables'!$A$3:$A$8,0)),"Invalid package"))</f>
        <v/>
      </c>
      <c r="G50" s="14" t="str">
        <f aca="false">IF(E50="","",'Reference Tables'!$C$14)</f>
        <v/>
      </c>
      <c r="H50" s="12" t="str">
        <f aca="false">IF(E50="","",IF(E50&gt;=150,"Yes","No"))</f>
        <v/>
      </c>
      <c r="I50" s="13" t="str">
        <f aca="false">IF(E50="","",IF(H50="Yes",E50*G50,0))</f>
        <v/>
      </c>
      <c r="J50" s="13" t="str">
        <f aca="false">IF(E50="","",E50-I50)</f>
        <v/>
      </c>
      <c r="K50" s="6"/>
      <c r="L50" s="6"/>
    </row>
    <row r="51" customFormat="false" ht="15" hidden="false" customHeight="false" outlineLevel="0" collapsed="false">
      <c r="A51" s="11"/>
      <c r="B51" s="6"/>
      <c r="C51" s="12" t="str">
        <f aca="false">IF(B51="","",IFERROR(INDEX('Silver Registry'!$B$4:$B$103,MATCH(B51,'Silver Registry'!$A$4:$A$103,0)),"Not found"))</f>
        <v/>
      </c>
      <c r="D51" s="6"/>
      <c r="E51" s="13" t="str">
        <f aca="false">IF(D51="","",IFERROR(INDEX('Reference Tables'!$B$3:$B$8,MATCH(D51,'Reference Tables'!$A$3:$A$8,0)),"Invalid package"))</f>
        <v/>
      </c>
      <c r="F51" s="12" t="str">
        <f aca="false">IF(D51="","",IFERROR(INDEX('Reference Tables'!$C$3:$C$8,MATCH(D51,'Reference Tables'!$A$3:$A$8,0)),"Invalid package"))</f>
        <v/>
      </c>
      <c r="G51" s="14" t="str">
        <f aca="false">IF(E51="","",'Reference Tables'!$C$14)</f>
        <v/>
      </c>
      <c r="H51" s="12" t="str">
        <f aca="false">IF(E51="","",IF(E51&gt;=150,"Yes","No"))</f>
        <v/>
      </c>
      <c r="I51" s="13" t="str">
        <f aca="false">IF(E51="","",IF(H51="Yes",E51*G51,0))</f>
        <v/>
      </c>
      <c r="J51" s="13" t="str">
        <f aca="false">IF(E51="","",E51-I51)</f>
        <v/>
      </c>
      <c r="K51" s="6"/>
      <c r="L51" s="6"/>
    </row>
    <row r="52" customFormat="false" ht="15" hidden="false" customHeight="false" outlineLevel="0" collapsed="false">
      <c r="A52" s="11"/>
      <c r="B52" s="6"/>
      <c r="C52" s="12" t="str">
        <f aca="false">IF(B52="","",IFERROR(INDEX('Silver Registry'!$B$4:$B$103,MATCH(B52,'Silver Registry'!$A$4:$A$103,0)),"Not found"))</f>
        <v/>
      </c>
      <c r="D52" s="6"/>
      <c r="E52" s="13" t="str">
        <f aca="false">IF(D52="","",IFERROR(INDEX('Reference Tables'!$B$3:$B$8,MATCH(D52,'Reference Tables'!$A$3:$A$8,0)),"Invalid package"))</f>
        <v/>
      </c>
      <c r="F52" s="12" t="str">
        <f aca="false">IF(D52="","",IFERROR(INDEX('Reference Tables'!$C$3:$C$8,MATCH(D52,'Reference Tables'!$A$3:$A$8,0)),"Invalid package"))</f>
        <v/>
      </c>
      <c r="G52" s="14" t="str">
        <f aca="false">IF(E52="","",'Reference Tables'!$C$14)</f>
        <v/>
      </c>
      <c r="H52" s="12" t="str">
        <f aca="false">IF(E52="","",IF(E52&gt;=150,"Yes","No"))</f>
        <v/>
      </c>
      <c r="I52" s="13" t="str">
        <f aca="false">IF(E52="","",IF(H52="Yes",E52*G52,0))</f>
        <v/>
      </c>
      <c r="J52" s="13" t="str">
        <f aca="false">IF(E52="","",E52-I52)</f>
        <v/>
      </c>
      <c r="K52" s="6"/>
      <c r="L52" s="6"/>
    </row>
    <row r="53" customFormat="false" ht="15" hidden="false" customHeight="false" outlineLevel="0" collapsed="false">
      <c r="A53" s="11"/>
      <c r="B53" s="6"/>
      <c r="C53" s="12" t="str">
        <f aca="false">IF(B53="","",IFERROR(INDEX('Silver Registry'!$B$4:$B$103,MATCH(B53,'Silver Registry'!$A$4:$A$103,0)),"Not found"))</f>
        <v/>
      </c>
      <c r="D53" s="6"/>
      <c r="E53" s="13" t="str">
        <f aca="false">IF(D53="","",IFERROR(INDEX('Reference Tables'!$B$3:$B$8,MATCH(D53,'Reference Tables'!$A$3:$A$8,0)),"Invalid package"))</f>
        <v/>
      </c>
      <c r="F53" s="12" t="str">
        <f aca="false">IF(D53="","",IFERROR(INDEX('Reference Tables'!$C$3:$C$8,MATCH(D53,'Reference Tables'!$A$3:$A$8,0)),"Invalid package"))</f>
        <v/>
      </c>
      <c r="G53" s="14" t="str">
        <f aca="false">IF(E53="","",'Reference Tables'!$C$14)</f>
        <v/>
      </c>
      <c r="H53" s="12" t="str">
        <f aca="false">IF(E53="","",IF(E53&gt;=150,"Yes","No"))</f>
        <v/>
      </c>
      <c r="I53" s="13" t="str">
        <f aca="false">IF(E53="","",IF(H53="Yes",E53*G53,0))</f>
        <v/>
      </c>
      <c r="J53" s="13" t="str">
        <f aca="false">IF(E53="","",E53-I53)</f>
        <v/>
      </c>
      <c r="K53" s="6"/>
      <c r="L53" s="6"/>
    </row>
    <row r="54" customFormat="false" ht="15" hidden="false" customHeight="false" outlineLevel="0" collapsed="false">
      <c r="A54" s="11"/>
      <c r="B54" s="6"/>
      <c r="C54" s="12" t="str">
        <f aca="false">IF(B54="","",IFERROR(INDEX('Silver Registry'!$B$4:$B$103,MATCH(B54,'Silver Registry'!$A$4:$A$103,0)),"Not found"))</f>
        <v/>
      </c>
      <c r="D54" s="6"/>
      <c r="E54" s="13" t="str">
        <f aca="false">IF(D54="","",IFERROR(INDEX('Reference Tables'!$B$3:$B$8,MATCH(D54,'Reference Tables'!$A$3:$A$8,0)),"Invalid package"))</f>
        <v/>
      </c>
      <c r="F54" s="12" t="str">
        <f aca="false">IF(D54="","",IFERROR(INDEX('Reference Tables'!$C$3:$C$8,MATCH(D54,'Reference Tables'!$A$3:$A$8,0)),"Invalid package"))</f>
        <v/>
      </c>
      <c r="G54" s="14" t="str">
        <f aca="false">IF(E54="","",'Reference Tables'!$C$14)</f>
        <v/>
      </c>
      <c r="H54" s="12" t="str">
        <f aca="false">IF(E54="","",IF(E54&gt;=150,"Yes","No"))</f>
        <v/>
      </c>
      <c r="I54" s="13" t="str">
        <f aca="false">IF(E54="","",IF(H54="Yes",E54*G54,0))</f>
        <v/>
      </c>
      <c r="J54" s="13" t="str">
        <f aca="false">IF(E54="","",E54-I54)</f>
        <v/>
      </c>
      <c r="K54" s="6"/>
      <c r="L54" s="6"/>
    </row>
    <row r="55" customFormat="false" ht="15" hidden="false" customHeight="false" outlineLevel="0" collapsed="false">
      <c r="A55" s="11"/>
      <c r="B55" s="6"/>
      <c r="C55" s="12" t="str">
        <f aca="false">IF(B55="","",IFERROR(INDEX('Silver Registry'!$B$4:$B$103,MATCH(B55,'Silver Registry'!$A$4:$A$103,0)),"Not found"))</f>
        <v/>
      </c>
      <c r="D55" s="6"/>
      <c r="E55" s="13" t="str">
        <f aca="false">IF(D55="","",IFERROR(INDEX('Reference Tables'!$B$3:$B$8,MATCH(D55,'Reference Tables'!$A$3:$A$8,0)),"Invalid package"))</f>
        <v/>
      </c>
      <c r="F55" s="12" t="str">
        <f aca="false">IF(D55="","",IFERROR(INDEX('Reference Tables'!$C$3:$C$8,MATCH(D55,'Reference Tables'!$A$3:$A$8,0)),"Invalid package"))</f>
        <v/>
      </c>
      <c r="G55" s="14" t="str">
        <f aca="false">IF(E55="","",'Reference Tables'!$C$14)</f>
        <v/>
      </c>
      <c r="H55" s="12" t="str">
        <f aca="false">IF(E55="","",IF(E55&gt;=150,"Yes","No"))</f>
        <v/>
      </c>
      <c r="I55" s="13" t="str">
        <f aca="false">IF(E55="","",IF(H55="Yes",E55*G55,0))</f>
        <v/>
      </c>
      <c r="J55" s="13" t="str">
        <f aca="false">IF(E55="","",E55-I55)</f>
        <v/>
      </c>
      <c r="K55" s="6"/>
      <c r="L55" s="6"/>
    </row>
    <row r="56" customFormat="false" ht="15" hidden="false" customHeight="false" outlineLevel="0" collapsed="false">
      <c r="A56" s="11"/>
      <c r="B56" s="6"/>
      <c r="C56" s="12" t="str">
        <f aca="false">IF(B56="","",IFERROR(INDEX('Silver Registry'!$B$4:$B$103,MATCH(B56,'Silver Registry'!$A$4:$A$103,0)),"Not found"))</f>
        <v/>
      </c>
      <c r="D56" s="6"/>
      <c r="E56" s="13" t="str">
        <f aca="false">IF(D56="","",IFERROR(INDEX('Reference Tables'!$B$3:$B$8,MATCH(D56,'Reference Tables'!$A$3:$A$8,0)),"Invalid package"))</f>
        <v/>
      </c>
      <c r="F56" s="12" t="str">
        <f aca="false">IF(D56="","",IFERROR(INDEX('Reference Tables'!$C$3:$C$8,MATCH(D56,'Reference Tables'!$A$3:$A$8,0)),"Invalid package"))</f>
        <v/>
      </c>
      <c r="G56" s="14" t="str">
        <f aca="false">IF(E56="","",'Reference Tables'!$C$14)</f>
        <v/>
      </c>
      <c r="H56" s="12" t="str">
        <f aca="false">IF(E56="","",IF(E56&gt;=150,"Yes","No"))</f>
        <v/>
      </c>
      <c r="I56" s="13" t="str">
        <f aca="false">IF(E56="","",IF(H56="Yes",E56*G56,0))</f>
        <v/>
      </c>
      <c r="J56" s="13" t="str">
        <f aca="false">IF(E56="","",E56-I56)</f>
        <v/>
      </c>
      <c r="K56" s="6"/>
      <c r="L56" s="6"/>
    </row>
    <row r="57" customFormat="false" ht="15" hidden="false" customHeight="false" outlineLevel="0" collapsed="false">
      <c r="A57" s="11"/>
      <c r="B57" s="6"/>
      <c r="C57" s="12" t="str">
        <f aca="false">IF(B57="","",IFERROR(INDEX('Silver Registry'!$B$4:$B$103,MATCH(B57,'Silver Registry'!$A$4:$A$103,0)),"Not found"))</f>
        <v/>
      </c>
      <c r="D57" s="6"/>
      <c r="E57" s="13" t="str">
        <f aca="false">IF(D57="","",IFERROR(INDEX('Reference Tables'!$B$3:$B$8,MATCH(D57,'Reference Tables'!$A$3:$A$8,0)),"Invalid package"))</f>
        <v/>
      </c>
      <c r="F57" s="12" t="str">
        <f aca="false">IF(D57="","",IFERROR(INDEX('Reference Tables'!$C$3:$C$8,MATCH(D57,'Reference Tables'!$A$3:$A$8,0)),"Invalid package"))</f>
        <v/>
      </c>
      <c r="G57" s="14" t="str">
        <f aca="false">IF(E57="","",'Reference Tables'!$C$14)</f>
        <v/>
      </c>
      <c r="H57" s="12" t="str">
        <f aca="false">IF(E57="","",IF(E57&gt;=150,"Yes","No"))</f>
        <v/>
      </c>
      <c r="I57" s="13" t="str">
        <f aca="false">IF(E57="","",IF(H57="Yes",E57*G57,0))</f>
        <v/>
      </c>
      <c r="J57" s="13" t="str">
        <f aca="false">IF(E57="","",E57-I57)</f>
        <v/>
      </c>
      <c r="K57" s="6"/>
      <c r="L57" s="6"/>
    </row>
    <row r="58" customFormat="false" ht="15" hidden="false" customHeight="false" outlineLevel="0" collapsed="false">
      <c r="A58" s="11"/>
      <c r="B58" s="6"/>
      <c r="C58" s="12" t="str">
        <f aca="false">IF(B58="","",IFERROR(INDEX('Silver Registry'!$B$4:$B$103,MATCH(B58,'Silver Registry'!$A$4:$A$103,0)),"Not found"))</f>
        <v/>
      </c>
      <c r="D58" s="6"/>
      <c r="E58" s="13" t="str">
        <f aca="false">IF(D58="","",IFERROR(INDEX('Reference Tables'!$B$3:$B$8,MATCH(D58,'Reference Tables'!$A$3:$A$8,0)),"Invalid package"))</f>
        <v/>
      </c>
      <c r="F58" s="12" t="str">
        <f aca="false">IF(D58="","",IFERROR(INDEX('Reference Tables'!$C$3:$C$8,MATCH(D58,'Reference Tables'!$A$3:$A$8,0)),"Invalid package"))</f>
        <v/>
      </c>
      <c r="G58" s="14" t="str">
        <f aca="false">IF(E58="","",'Reference Tables'!$C$14)</f>
        <v/>
      </c>
      <c r="H58" s="12" t="str">
        <f aca="false">IF(E58="","",IF(E58&gt;=150,"Yes","No"))</f>
        <v/>
      </c>
      <c r="I58" s="13" t="str">
        <f aca="false">IF(E58="","",IF(H58="Yes",E58*G58,0))</f>
        <v/>
      </c>
      <c r="J58" s="13" t="str">
        <f aca="false">IF(E58="","",E58-I58)</f>
        <v/>
      </c>
      <c r="K58" s="6"/>
      <c r="L58" s="6"/>
    </row>
    <row r="59" customFormat="false" ht="15" hidden="false" customHeight="false" outlineLevel="0" collapsed="false">
      <c r="A59" s="11"/>
      <c r="B59" s="6"/>
      <c r="C59" s="12" t="str">
        <f aca="false">IF(B59="","",IFERROR(INDEX('Silver Registry'!$B$4:$B$103,MATCH(B59,'Silver Registry'!$A$4:$A$103,0)),"Not found"))</f>
        <v/>
      </c>
      <c r="D59" s="6"/>
      <c r="E59" s="13" t="str">
        <f aca="false">IF(D59="","",IFERROR(INDEX('Reference Tables'!$B$3:$B$8,MATCH(D59,'Reference Tables'!$A$3:$A$8,0)),"Invalid package"))</f>
        <v/>
      </c>
      <c r="F59" s="12" t="str">
        <f aca="false">IF(D59="","",IFERROR(INDEX('Reference Tables'!$C$3:$C$8,MATCH(D59,'Reference Tables'!$A$3:$A$8,0)),"Invalid package"))</f>
        <v/>
      </c>
      <c r="G59" s="14" t="str">
        <f aca="false">IF(E59="","",'Reference Tables'!$C$14)</f>
        <v/>
      </c>
      <c r="H59" s="12" t="str">
        <f aca="false">IF(E59="","",IF(E59&gt;=150,"Yes","No"))</f>
        <v/>
      </c>
      <c r="I59" s="13" t="str">
        <f aca="false">IF(E59="","",IF(H59="Yes",E59*G59,0))</f>
        <v/>
      </c>
      <c r="J59" s="13" t="str">
        <f aca="false">IF(E59="","",E59-I59)</f>
        <v/>
      </c>
      <c r="K59" s="6"/>
      <c r="L59" s="6"/>
    </row>
    <row r="60" customFormat="false" ht="15" hidden="false" customHeight="false" outlineLevel="0" collapsed="false">
      <c r="A60" s="11"/>
      <c r="B60" s="6"/>
      <c r="C60" s="12" t="str">
        <f aca="false">IF(B60="","",IFERROR(INDEX('Silver Registry'!$B$4:$B$103,MATCH(B60,'Silver Registry'!$A$4:$A$103,0)),"Not found"))</f>
        <v/>
      </c>
      <c r="D60" s="6"/>
      <c r="E60" s="13" t="str">
        <f aca="false">IF(D60="","",IFERROR(INDEX('Reference Tables'!$B$3:$B$8,MATCH(D60,'Reference Tables'!$A$3:$A$8,0)),"Invalid package"))</f>
        <v/>
      </c>
      <c r="F60" s="12" t="str">
        <f aca="false">IF(D60="","",IFERROR(INDEX('Reference Tables'!$C$3:$C$8,MATCH(D60,'Reference Tables'!$A$3:$A$8,0)),"Invalid package"))</f>
        <v/>
      </c>
      <c r="G60" s="14" t="str">
        <f aca="false">IF(E60="","",'Reference Tables'!$C$14)</f>
        <v/>
      </c>
      <c r="H60" s="12" t="str">
        <f aca="false">IF(E60="","",IF(E60&gt;=150,"Yes","No"))</f>
        <v/>
      </c>
      <c r="I60" s="13" t="str">
        <f aca="false">IF(E60="","",IF(H60="Yes",E60*G60,0))</f>
        <v/>
      </c>
      <c r="J60" s="13" t="str">
        <f aca="false">IF(E60="","",E60-I60)</f>
        <v/>
      </c>
      <c r="K60" s="6"/>
      <c r="L60" s="6"/>
    </row>
    <row r="61" customFormat="false" ht="15" hidden="false" customHeight="false" outlineLevel="0" collapsed="false">
      <c r="A61" s="11"/>
      <c r="B61" s="6"/>
      <c r="C61" s="12" t="str">
        <f aca="false">IF(B61="","",IFERROR(INDEX('Silver Registry'!$B$4:$B$103,MATCH(B61,'Silver Registry'!$A$4:$A$103,0)),"Not found"))</f>
        <v/>
      </c>
      <c r="D61" s="6"/>
      <c r="E61" s="13" t="str">
        <f aca="false">IF(D61="","",IFERROR(INDEX('Reference Tables'!$B$3:$B$8,MATCH(D61,'Reference Tables'!$A$3:$A$8,0)),"Invalid package"))</f>
        <v/>
      </c>
      <c r="F61" s="12" t="str">
        <f aca="false">IF(D61="","",IFERROR(INDEX('Reference Tables'!$C$3:$C$8,MATCH(D61,'Reference Tables'!$A$3:$A$8,0)),"Invalid package"))</f>
        <v/>
      </c>
      <c r="G61" s="14" t="str">
        <f aca="false">IF(E61="","",'Reference Tables'!$C$14)</f>
        <v/>
      </c>
      <c r="H61" s="12" t="str">
        <f aca="false">IF(E61="","",IF(E61&gt;=150,"Yes","No"))</f>
        <v/>
      </c>
      <c r="I61" s="13" t="str">
        <f aca="false">IF(E61="","",IF(H61="Yes",E61*G61,0))</f>
        <v/>
      </c>
      <c r="J61" s="13" t="str">
        <f aca="false">IF(E61="","",E61-I61)</f>
        <v/>
      </c>
      <c r="K61" s="6"/>
      <c r="L61" s="6"/>
    </row>
    <row r="62" customFormat="false" ht="15" hidden="false" customHeight="false" outlineLevel="0" collapsed="false">
      <c r="A62" s="11"/>
      <c r="B62" s="6"/>
      <c r="C62" s="12" t="str">
        <f aca="false">IF(B62="","",IFERROR(INDEX('Silver Registry'!$B$4:$B$103,MATCH(B62,'Silver Registry'!$A$4:$A$103,0)),"Not found"))</f>
        <v/>
      </c>
      <c r="D62" s="6"/>
      <c r="E62" s="13" t="str">
        <f aca="false">IF(D62="","",IFERROR(INDEX('Reference Tables'!$B$3:$B$8,MATCH(D62,'Reference Tables'!$A$3:$A$8,0)),"Invalid package"))</f>
        <v/>
      </c>
      <c r="F62" s="12" t="str">
        <f aca="false">IF(D62="","",IFERROR(INDEX('Reference Tables'!$C$3:$C$8,MATCH(D62,'Reference Tables'!$A$3:$A$8,0)),"Invalid package"))</f>
        <v/>
      </c>
      <c r="G62" s="14" t="str">
        <f aca="false">IF(E62="","",'Reference Tables'!$C$14)</f>
        <v/>
      </c>
      <c r="H62" s="12" t="str">
        <f aca="false">IF(E62="","",IF(E62&gt;=150,"Yes","No"))</f>
        <v/>
      </c>
      <c r="I62" s="13" t="str">
        <f aca="false">IF(E62="","",IF(H62="Yes",E62*G62,0))</f>
        <v/>
      </c>
      <c r="J62" s="13" t="str">
        <f aca="false">IF(E62="","",E62-I62)</f>
        <v/>
      </c>
      <c r="K62" s="6"/>
      <c r="L62" s="6"/>
    </row>
    <row r="63" customFormat="false" ht="15" hidden="false" customHeight="false" outlineLevel="0" collapsed="false">
      <c r="A63" s="11"/>
      <c r="B63" s="6"/>
      <c r="C63" s="12" t="str">
        <f aca="false">IF(B63="","",IFERROR(INDEX('Silver Registry'!$B$4:$B$103,MATCH(B63,'Silver Registry'!$A$4:$A$103,0)),"Not found"))</f>
        <v/>
      </c>
      <c r="D63" s="6"/>
      <c r="E63" s="13" t="str">
        <f aca="false">IF(D63="","",IFERROR(INDEX('Reference Tables'!$B$3:$B$8,MATCH(D63,'Reference Tables'!$A$3:$A$8,0)),"Invalid package"))</f>
        <v/>
      </c>
      <c r="F63" s="12" t="str">
        <f aca="false">IF(D63="","",IFERROR(INDEX('Reference Tables'!$C$3:$C$8,MATCH(D63,'Reference Tables'!$A$3:$A$8,0)),"Invalid package"))</f>
        <v/>
      </c>
      <c r="G63" s="14" t="str">
        <f aca="false">IF(E63="","",'Reference Tables'!$C$14)</f>
        <v/>
      </c>
      <c r="H63" s="12" t="str">
        <f aca="false">IF(E63="","",IF(E63&gt;=150,"Yes","No"))</f>
        <v/>
      </c>
      <c r="I63" s="13" t="str">
        <f aca="false">IF(E63="","",IF(H63="Yes",E63*G63,0))</f>
        <v/>
      </c>
      <c r="J63" s="13" t="str">
        <f aca="false">IF(E63="","",E63-I63)</f>
        <v/>
      </c>
      <c r="K63" s="6"/>
      <c r="L63" s="6"/>
    </row>
    <row r="64" customFormat="false" ht="15" hidden="false" customHeight="false" outlineLevel="0" collapsed="false">
      <c r="A64" s="11"/>
      <c r="B64" s="6"/>
      <c r="C64" s="12" t="str">
        <f aca="false">IF(B64="","",IFERROR(INDEX('Silver Registry'!$B$4:$B$103,MATCH(B64,'Silver Registry'!$A$4:$A$103,0)),"Not found"))</f>
        <v/>
      </c>
      <c r="D64" s="6"/>
      <c r="E64" s="13" t="str">
        <f aca="false">IF(D64="","",IFERROR(INDEX('Reference Tables'!$B$3:$B$8,MATCH(D64,'Reference Tables'!$A$3:$A$8,0)),"Invalid package"))</f>
        <v/>
      </c>
      <c r="F64" s="12" t="str">
        <f aca="false">IF(D64="","",IFERROR(INDEX('Reference Tables'!$C$3:$C$8,MATCH(D64,'Reference Tables'!$A$3:$A$8,0)),"Invalid package"))</f>
        <v/>
      </c>
      <c r="G64" s="14" t="str">
        <f aca="false">IF(E64="","",'Reference Tables'!$C$14)</f>
        <v/>
      </c>
      <c r="H64" s="12" t="str">
        <f aca="false">IF(E64="","",IF(E64&gt;=150,"Yes","No"))</f>
        <v/>
      </c>
      <c r="I64" s="13" t="str">
        <f aca="false">IF(E64="","",IF(H64="Yes",E64*G64,0))</f>
        <v/>
      </c>
      <c r="J64" s="13" t="str">
        <f aca="false">IF(E64="","",E64-I64)</f>
        <v/>
      </c>
      <c r="K64" s="6"/>
      <c r="L64" s="6"/>
    </row>
    <row r="65" customFormat="false" ht="15" hidden="false" customHeight="false" outlineLevel="0" collapsed="false">
      <c r="A65" s="11"/>
      <c r="B65" s="6"/>
      <c r="C65" s="12" t="str">
        <f aca="false">IF(B65="","",IFERROR(INDEX('Silver Registry'!$B$4:$B$103,MATCH(B65,'Silver Registry'!$A$4:$A$103,0)),"Not found"))</f>
        <v/>
      </c>
      <c r="D65" s="6"/>
      <c r="E65" s="13" t="str">
        <f aca="false">IF(D65="","",IFERROR(INDEX('Reference Tables'!$B$3:$B$8,MATCH(D65,'Reference Tables'!$A$3:$A$8,0)),"Invalid package"))</f>
        <v/>
      </c>
      <c r="F65" s="12" t="str">
        <f aca="false">IF(D65="","",IFERROR(INDEX('Reference Tables'!$C$3:$C$8,MATCH(D65,'Reference Tables'!$A$3:$A$8,0)),"Invalid package"))</f>
        <v/>
      </c>
      <c r="G65" s="14" t="str">
        <f aca="false">IF(E65="","",'Reference Tables'!$C$14)</f>
        <v/>
      </c>
      <c r="H65" s="12" t="str">
        <f aca="false">IF(E65="","",IF(E65&gt;=150,"Yes","No"))</f>
        <v/>
      </c>
      <c r="I65" s="13" t="str">
        <f aca="false">IF(E65="","",IF(H65="Yes",E65*G65,0))</f>
        <v/>
      </c>
      <c r="J65" s="13" t="str">
        <f aca="false">IF(E65="","",E65-I65)</f>
        <v/>
      </c>
      <c r="K65" s="6"/>
      <c r="L65" s="6"/>
    </row>
    <row r="66" customFormat="false" ht="15" hidden="false" customHeight="false" outlineLevel="0" collapsed="false">
      <c r="A66" s="11"/>
      <c r="B66" s="6"/>
      <c r="C66" s="12" t="str">
        <f aca="false">IF(B66="","",IFERROR(INDEX('Silver Registry'!$B$4:$B$103,MATCH(B66,'Silver Registry'!$A$4:$A$103,0)),"Not found"))</f>
        <v/>
      </c>
      <c r="D66" s="6"/>
      <c r="E66" s="13" t="str">
        <f aca="false">IF(D66="","",IFERROR(INDEX('Reference Tables'!$B$3:$B$8,MATCH(D66,'Reference Tables'!$A$3:$A$8,0)),"Invalid package"))</f>
        <v/>
      </c>
      <c r="F66" s="12" t="str">
        <f aca="false">IF(D66="","",IFERROR(INDEX('Reference Tables'!$C$3:$C$8,MATCH(D66,'Reference Tables'!$A$3:$A$8,0)),"Invalid package"))</f>
        <v/>
      </c>
      <c r="G66" s="14" t="str">
        <f aca="false">IF(E66="","",'Reference Tables'!$C$14)</f>
        <v/>
      </c>
      <c r="H66" s="12" t="str">
        <f aca="false">IF(E66="","",IF(E66&gt;=150,"Yes","No"))</f>
        <v/>
      </c>
      <c r="I66" s="13" t="str">
        <f aca="false">IF(E66="","",IF(H66="Yes",E66*G66,0))</f>
        <v/>
      </c>
      <c r="J66" s="13" t="str">
        <f aca="false">IF(E66="","",E66-I66)</f>
        <v/>
      </c>
      <c r="K66" s="6"/>
      <c r="L66" s="6"/>
    </row>
    <row r="67" customFormat="false" ht="15" hidden="false" customHeight="false" outlineLevel="0" collapsed="false">
      <c r="A67" s="11"/>
      <c r="B67" s="6"/>
      <c r="C67" s="12" t="str">
        <f aca="false">IF(B67="","",IFERROR(INDEX('Silver Registry'!$B$4:$B$103,MATCH(B67,'Silver Registry'!$A$4:$A$103,0)),"Not found"))</f>
        <v/>
      </c>
      <c r="D67" s="6"/>
      <c r="E67" s="13" t="str">
        <f aca="false">IF(D67="","",IFERROR(INDEX('Reference Tables'!$B$3:$B$8,MATCH(D67,'Reference Tables'!$A$3:$A$8,0)),"Invalid package"))</f>
        <v/>
      </c>
      <c r="F67" s="12" t="str">
        <f aca="false">IF(D67="","",IFERROR(INDEX('Reference Tables'!$C$3:$C$8,MATCH(D67,'Reference Tables'!$A$3:$A$8,0)),"Invalid package"))</f>
        <v/>
      </c>
      <c r="G67" s="14" t="str">
        <f aca="false">IF(E67="","",'Reference Tables'!$C$14)</f>
        <v/>
      </c>
      <c r="H67" s="12" t="str">
        <f aca="false">IF(E67="","",IF(E67&gt;=150,"Yes","No"))</f>
        <v/>
      </c>
      <c r="I67" s="13" t="str">
        <f aca="false">IF(E67="","",IF(H67="Yes",E67*G67,0))</f>
        <v/>
      </c>
      <c r="J67" s="13" t="str">
        <f aca="false">IF(E67="","",E67-I67)</f>
        <v/>
      </c>
      <c r="K67" s="6"/>
      <c r="L67" s="6"/>
    </row>
    <row r="68" customFormat="false" ht="15" hidden="false" customHeight="false" outlineLevel="0" collapsed="false">
      <c r="A68" s="11"/>
      <c r="B68" s="6"/>
      <c r="C68" s="12" t="str">
        <f aca="false">IF(B68="","",IFERROR(INDEX('Silver Registry'!$B$4:$B$103,MATCH(B68,'Silver Registry'!$A$4:$A$103,0)),"Not found"))</f>
        <v/>
      </c>
      <c r="D68" s="6"/>
      <c r="E68" s="13" t="str">
        <f aca="false">IF(D68="","",IFERROR(INDEX('Reference Tables'!$B$3:$B$8,MATCH(D68,'Reference Tables'!$A$3:$A$8,0)),"Invalid package"))</f>
        <v/>
      </c>
      <c r="F68" s="12" t="str">
        <f aca="false">IF(D68="","",IFERROR(INDEX('Reference Tables'!$C$3:$C$8,MATCH(D68,'Reference Tables'!$A$3:$A$8,0)),"Invalid package"))</f>
        <v/>
      </c>
      <c r="G68" s="14" t="str">
        <f aca="false">IF(E68="","",'Reference Tables'!$C$14)</f>
        <v/>
      </c>
      <c r="H68" s="12" t="str">
        <f aca="false">IF(E68="","",IF(E68&gt;=150,"Yes","No"))</f>
        <v/>
      </c>
      <c r="I68" s="13" t="str">
        <f aca="false">IF(E68="","",IF(H68="Yes",E68*G68,0))</f>
        <v/>
      </c>
      <c r="J68" s="13" t="str">
        <f aca="false">IF(E68="","",E68-I68)</f>
        <v/>
      </c>
      <c r="K68" s="6"/>
      <c r="L68" s="6"/>
    </row>
    <row r="69" customFormat="false" ht="15" hidden="false" customHeight="false" outlineLevel="0" collapsed="false">
      <c r="A69" s="11"/>
      <c r="B69" s="6"/>
      <c r="C69" s="12" t="str">
        <f aca="false">IF(B69="","",IFERROR(INDEX('Silver Registry'!$B$4:$B$103,MATCH(B69,'Silver Registry'!$A$4:$A$103,0)),"Not found"))</f>
        <v/>
      </c>
      <c r="D69" s="6"/>
      <c r="E69" s="13" t="str">
        <f aca="false">IF(D69="","",IFERROR(INDEX('Reference Tables'!$B$3:$B$8,MATCH(D69,'Reference Tables'!$A$3:$A$8,0)),"Invalid package"))</f>
        <v/>
      </c>
      <c r="F69" s="12" t="str">
        <f aca="false">IF(D69="","",IFERROR(INDEX('Reference Tables'!$C$3:$C$8,MATCH(D69,'Reference Tables'!$A$3:$A$8,0)),"Invalid package"))</f>
        <v/>
      </c>
      <c r="G69" s="14" t="str">
        <f aca="false">IF(E69="","",'Reference Tables'!$C$14)</f>
        <v/>
      </c>
      <c r="H69" s="12" t="str">
        <f aca="false">IF(E69="","",IF(E69&gt;=150,"Yes","No"))</f>
        <v/>
      </c>
      <c r="I69" s="13" t="str">
        <f aca="false">IF(E69="","",IF(H69="Yes",E69*G69,0))</f>
        <v/>
      </c>
      <c r="J69" s="13" t="str">
        <f aca="false">IF(E69="","",E69-I69)</f>
        <v/>
      </c>
      <c r="K69" s="6"/>
      <c r="L69" s="6"/>
    </row>
    <row r="70" customFormat="false" ht="15" hidden="false" customHeight="false" outlineLevel="0" collapsed="false">
      <c r="A70" s="11"/>
      <c r="B70" s="6"/>
      <c r="C70" s="12" t="str">
        <f aca="false">IF(B70="","",IFERROR(INDEX('Silver Registry'!$B$4:$B$103,MATCH(B70,'Silver Registry'!$A$4:$A$103,0)),"Not found"))</f>
        <v/>
      </c>
      <c r="D70" s="6"/>
      <c r="E70" s="13" t="str">
        <f aca="false">IF(D70="","",IFERROR(INDEX('Reference Tables'!$B$3:$B$8,MATCH(D70,'Reference Tables'!$A$3:$A$8,0)),"Invalid package"))</f>
        <v/>
      </c>
      <c r="F70" s="12" t="str">
        <f aca="false">IF(D70="","",IFERROR(INDEX('Reference Tables'!$C$3:$C$8,MATCH(D70,'Reference Tables'!$A$3:$A$8,0)),"Invalid package"))</f>
        <v/>
      </c>
      <c r="G70" s="14" t="str">
        <f aca="false">IF(E70="","",'Reference Tables'!$C$14)</f>
        <v/>
      </c>
      <c r="H70" s="12" t="str">
        <f aca="false">IF(E70="","",IF(E70&gt;=150,"Yes","No"))</f>
        <v/>
      </c>
      <c r="I70" s="13" t="str">
        <f aca="false">IF(E70="","",IF(H70="Yes",E70*G70,0))</f>
        <v/>
      </c>
      <c r="J70" s="13" t="str">
        <f aca="false">IF(E70="","",E70-I70)</f>
        <v/>
      </c>
      <c r="K70" s="6"/>
      <c r="L70" s="6"/>
    </row>
    <row r="71" customFormat="false" ht="15" hidden="false" customHeight="false" outlineLevel="0" collapsed="false">
      <c r="A71" s="11"/>
      <c r="B71" s="6"/>
      <c r="C71" s="12" t="str">
        <f aca="false">IF(B71="","",IFERROR(INDEX('Silver Registry'!$B$4:$B$103,MATCH(B71,'Silver Registry'!$A$4:$A$103,0)),"Not found"))</f>
        <v/>
      </c>
      <c r="D71" s="6"/>
      <c r="E71" s="13" t="str">
        <f aca="false">IF(D71="","",IFERROR(INDEX('Reference Tables'!$B$3:$B$8,MATCH(D71,'Reference Tables'!$A$3:$A$8,0)),"Invalid package"))</f>
        <v/>
      </c>
      <c r="F71" s="12" t="str">
        <f aca="false">IF(D71="","",IFERROR(INDEX('Reference Tables'!$C$3:$C$8,MATCH(D71,'Reference Tables'!$A$3:$A$8,0)),"Invalid package"))</f>
        <v/>
      </c>
      <c r="G71" s="14" t="str">
        <f aca="false">IF(E71="","",'Reference Tables'!$C$14)</f>
        <v/>
      </c>
      <c r="H71" s="12" t="str">
        <f aca="false">IF(E71="","",IF(E71&gt;=150,"Yes","No"))</f>
        <v/>
      </c>
      <c r="I71" s="13" t="str">
        <f aca="false">IF(E71="","",IF(H71="Yes",E71*G71,0))</f>
        <v/>
      </c>
      <c r="J71" s="13" t="str">
        <f aca="false">IF(E71="","",E71-I71)</f>
        <v/>
      </c>
      <c r="K71" s="6"/>
      <c r="L71" s="6"/>
    </row>
    <row r="72" customFormat="false" ht="15" hidden="false" customHeight="false" outlineLevel="0" collapsed="false">
      <c r="A72" s="11"/>
      <c r="B72" s="6"/>
      <c r="C72" s="12" t="str">
        <f aca="false">IF(B72="","",IFERROR(INDEX('Silver Registry'!$B$4:$B$103,MATCH(B72,'Silver Registry'!$A$4:$A$103,0)),"Not found"))</f>
        <v/>
      </c>
      <c r="D72" s="6"/>
      <c r="E72" s="13" t="str">
        <f aca="false">IF(D72="","",IFERROR(INDEX('Reference Tables'!$B$3:$B$8,MATCH(D72,'Reference Tables'!$A$3:$A$8,0)),"Invalid package"))</f>
        <v/>
      </c>
      <c r="F72" s="12" t="str">
        <f aca="false">IF(D72="","",IFERROR(INDEX('Reference Tables'!$C$3:$C$8,MATCH(D72,'Reference Tables'!$A$3:$A$8,0)),"Invalid package"))</f>
        <v/>
      </c>
      <c r="G72" s="14" t="str">
        <f aca="false">IF(E72="","",'Reference Tables'!$C$14)</f>
        <v/>
      </c>
      <c r="H72" s="12" t="str">
        <f aca="false">IF(E72="","",IF(E72&gt;=150,"Yes","No"))</f>
        <v/>
      </c>
      <c r="I72" s="13" t="str">
        <f aca="false">IF(E72="","",IF(H72="Yes",E72*G72,0))</f>
        <v/>
      </c>
      <c r="J72" s="13" t="str">
        <f aca="false">IF(E72="","",E72-I72)</f>
        <v/>
      </c>
      <c r="K72" s="6"/>
      <c r="L72" s="6"/>
    </row>
    <row r="73" customFormat="false" ht="15" hidden="false" customHeight="false" outlineLevel="0" collapsed="false">
      <c r="A73" s="11"/>
      <c r="B73" s="6"/>
      <c r="C73" s="12" t="str">
        <f aca="false">IF(B73="","",IFERROR(INDEX('Silver Registry'!$B$4:$B$103,MATCH(B73,'Silver Registry'!$A$4:$A$103,0)),"Not found"))</f>
        <v/>
      </c>
      <c r="D73" s="6"/>
      <c r="E73" s="13" t="str">
        <f aca="false">IF(D73="","",IFERROR(INDEX('Reference Tables'!$B$3:$B$8,MATCH(D73,'Reference Tables'!$A$3:$A$8,0)),"Invalid package"))</f>
        <v/>
      </c>
      <c r="F73" s="12" t="str">
        <f aca="false">IF(D73="","",IFERROR(INDEX('Reference Tables'!$C$3:$C$8,MATCH(D73,'Reference Tables'!$A$3:$A$8,0)),"Invalid package"))</f>
        <v/>
      </c>
      <c r="G73" s="14" t="str">
        <f aca="false">IF(E73="","",'Reference Tables'!$C$14)</f>
        <v/>
      </c>
      <c r="H73" s="12" t="str">
        <f aca="false">IF(E73="","",IF(E73&gt;=150,"Yes","No"))</f>
        <v/>
      </c>
      <c r="I73" s="13" t="str">
        <f aca="false">IF(E73="","",IF(H73="Yes",E73*G73,0))</f>
        <v/>
      </c>
      <c r="J73" s="13" t="str">
        <f aca="false">IF(E73="","",E73-I73)</f>
        <v/>
      </c>
      <c r="K73" s="6"/>
      <c r="L73" s="6"/>
    </row>
    <row r="74" customFormat="false" ht="15" hidden="false" customHeight="false" outlineLevel="0" collapsed="false">
      <c r="A74" s="11"/>
      <c r="B74" s="6"/>
      <c r="C74" s="12" t="str">
        <f aca="false">IF(B74="","",IFERROR(INDEX('Silver Registry'!$B$4:$B$103,MATCH(B74,'Silver Registry'!$A$4:$A$103,0)),"Not found"))</f>
        <v/>
      </c>
      <c r="D74" s="6"/>
      <c r="E74" s="13" t="str">
        <f aca="false">IF(D74="","",IFERROR(INDEX('Reference Tables'!$B$3:$B$8,MATCH(D74,'Reference Tables'!$A$3:$A$8,0)),"Invalid package"))</f>
        <v/>
      </c>
      <c r="F74" s="12" t="str">
        <f aca="false">IF(D74="","",IFERROR(INDEX('Reference Tables'!$C$3:$C$8,MATCH(D74,'Reference Tables'!$A$3:$A$8,0)),"Invalid package"))</f>
        <v/>
      </c>
      <c r="G74" s="14" t="str">
        <f aca="false">IF(E74="","",'Reference Tables'!$C$14)</f>
        <v/>
      </c>
      <c r="H74" s="12" t="str">
        <f aca="false">IF(E74="","",IF(E74&gt;=150,"Yes","No"))</f>
        <v/>
      </c>
      <c r="I74" s="13" t="str">
        <f aca="false">IF(E74="","",IF(H74="Yes",E74*G74,0))</f>
        <v/>
      </c>
      <c r="J74" s="13" t="str">
        <f aca="false">IF(E74="","",E74-I74)</f>
        <v/>
      </c>
      <c r="K74" s="6"/>
      <c r="L74" s="6"/>
    </row>
    <row r="75" customFormat="false" ht="15" hidden="false" customHeight="false" outlineLevel="0" collapsed="false">
      <c r="A75" s="11"/>
      <c r="B75" s="6"/>
      <c r="C75" s="12" t="str">
        <f aca="false">IF(B75="","",IFERROR(INDEX('Silver Registry'!$B$4:$B$103,MATCH(B75,'Silver Registry'!$A$4:$A$103,0)),"Not found"))</f>
        <v/>
      </c>
      <c r="D75" s="6"/>
      <c r="E75" s="13" t="str">
        <f aca="false">IF(D75="","",IFERROR(INDEX('Reference Tables'!$B$3:$B$8,MATCH(D75,'Reference Tables'!$A$3:$A$8,0)),"Invalid package"))</f>
        <v/>
      </c>
      <c r="F75" s="12" t="str">
        <f aca="false">IF(D75="","",IFERROR(INDEX('Reference Tables'!$C$3:$C$8,MATCH(D75,'Reference Tables'!$A$3:$A$8,0)),"Invalid package"))</f>
        <v/>
      </c>
      <c r="G75" s="14" t="str">
        <f aca="false">IF(E75="","",'Reference Tables'!$C$14)</f>
        <v/>
      </c>
      <c r="H75" s="12" t="str">
        <f aca="false">IF(E75="","",IF(E75&gt;=150,"Yes","No"))</f>
        <v/>
      </c>
      <c r="I75" s="13" t="str">
        <f aca="false">IF(E75="","",IF(H75="Yes",E75*G75,0))</f>
        <v/>
      </c>
      <c r="J75" s="13" t="str">
        <f aca="false">IF(E75="","",E75-I75)</f>
        <v/>
      </c>
      <c r="K75" s="6"/>
      <c r="L75" s="6"/>
    </row>
    <row r="76" customFormat="false" ht="15" hidden="false" customHeight="false" outlineLevel="0" collapsed="false">
      <c r="A76" s="11"/>
      <c r="B76" s="6"/>
      <c r="C76" s="12" t="str">
        <f aca="false">IF(B76="","",IFERROR(INDEX('Silver Registry'!$B$4:$B$103,MATCH(B76,'Silver Registry'!$A$4:$A$103,0)),"Not found"))</f>
        <v/>
      </c>
      <c r="D76" s="6"/>
      <c r="E76" s="13" t="str">
        <f aca="false">IF(D76="","",IFERROR(INDEX('Reference Tables'!$B$3:$B$8,MATCH(D76,'Reference Tables'!$A$3:$A$8,0)),"Invalid package"))</f>
        <v/>
      </c>
      <c r="F76" s="12" t="str">
        <f aca="false">IF(D76="","",IFERROR(INDEX('Reference Tables'!$C$3:$C$8,MATCH(D76,'Reference Tables'!$A$3:$A$8,0)),"Invalid package"))</f>
        <v/>
      </c>
      <c r="G76" s="14" t="str">
        <f aca="false">IF(E76="","",'Reference Tables'!$C$14)</f>
        <v/>
      </c>
      <c r="H76" s="12" t="str">
        <f aca="false">IF(E76="","",IF(E76&gt;=150,"Yes","No"))</f>
        <v/>
      </c>
      <c r="I76" s="13" t="str">
        <f aca="false">IF(E76="","",IF(H76="Yes",E76*G76,0))</f>
        <v/>
      </c>
      <c r="J76" s="13" t="str">
        <f aca="false">IF(E76="","",E76-I76)</f>
        <v/>
      </c>
      <c r="K76" s="6"/>
      <c r="L76" s="6"/>
    </row>
    <row r="77" customFormat="false" ht="15" hidden="false" customHeight="false" outlineLevel="0" collapsed="false">
      <c r="A77" s="11"/>
      <c r="B77" s="6"/>
      <c r="C77" s="12" t="str">
        <f aca="false">IF(B77="","",IFERROR(INDEX('Silver Registry'!$B$4:$B$103,MATCH(B77,'Silver Registry'!$A$4:$A$103,0)),"Not found"))</f>
        <v/>
      </c>
      <c r="D77" s="6"/>
      <c r="E77" s="13" t="str">
        <f aca="false">IF(D77="","",IFERROR(INDEX('Reference Tables'!$B$3:$B$8,MATCH(D77,'Reference Tables'!$A$3:$A$8,0)),"Invalid package"))</f>
        <v/>
      </c>
      <c r="F77" s="12" t="str">
        <f aca="false">IF(D77="","",IFERROR(INDEX('Reference Tables'!$C$3:$C$8,MATCH(D77,'Reference Tables'!$A$3:$A$8,0)),"Invalid package"))</f>
        <v/>
      </c>
      <c r="G77" s="14" t="str">
        <f aca="false">IF(E77="","",'Reference Tables'!$C$14)</f>
        <v/>
      </c>
      <c r="H77" s="12" t="str">
        <f aca="false">IF(E77="","",IF(E77&gt;=150,"Yes","No"))</f>
        <v/>
      </c>
      <c r="I77" s="13" t="str">
        <f aca="false">IF(E77="","",IF(H77="Yes",E77*G77,0))</f>
        <v/>
      </c>
      <c r="J77" s="13" t="str">
        <f aca="false">IF(E77="","",E77-I77)</f>
        <v/>
      </c>
      <c r="K77" s="6"/>
      <c r="L77" s="6"/>
    </row>
    <row r="78" customFormat="false" ht="15" hidden="false" customHeight="false" outlineLevel="0" collapsed="false">
      <c r="A78" s="11"/>
      <c r="B78" s="6"/>
      <c r="C78" s="12" t="str">
        <f aca="false">IF(B78="","",IFERROR(INDEX('Silver Registry'!$B$4:$B$103,MATCH(B78,'Silver Registry'!$A$4:$A$103,0)),"Not found"))</f>
        <v/>
      </c>
      <c r="D78" s="6"/>
      <c r="E78" s="13" t="str">
        <f aca="false">IF(D78="","",IFERROR(INDEX('Reference Tables'!$B$3:$B$8,MATCH(D78,'Reference Tables'!$A$3:$A$8,0)),"Invalid package"))</f>
        <v/>
      </c>
      <c r="F78" s="12" t="str">
        <f aca="false">IF(D78="","",IFERROR(INDEX('Reference Tables'!$C$3:$C$8,MATCH(D78,'Reference Tables'!$A$3:$A$8,0)),"Invalid package"))</f>
        <v/>
      </c>
      <c r="G78" s="14" t="str">
        <f aca="false">IF(E78="","",'Reference Tables'!$C$14)</f>
        <v/>
      </c>
      <c r="H78" s="12" t="str">
        <f aca="false">IF(E78="","",IF(E78&gt;=150,"Yes","No"))</f>
        <v/>
      </c>
      <c r="I78" s="13" t="str">
        <f aca="false">IF(E78="","",IF(H78="Yes",E78*G78,0))</f>
        <v/>
      </c>
      <c r="J78" s="13" t="str">
        <f aca="false">IF(E78="","",E78-I78)</f>
        <v/>
      </c>
      <c r="K78" s="6"/>
      <c r="L78" s="6"/>
    </row>
    <row r="79" customFormat="false" ht="15" hidden="false" customHeight="false" outlineLevel="0" collapsed="false">
      <c r="A79" s="11"/>
      <c r="B79" s="6"/>
      <c r="C79" s="12" t="str">
        <f aca="false">IF(B79="","",IFERROR(INDEX('Silver Registry'!$B$4:$B$103,MATCH(B79,'Silver Registry'!$A$4:$A$103,0)),"Not found"))</f>
        <v/>
      </c>
      <c r="D79" s="6"/>
      <c r="E79" s="13" t="str">
        <f aca="false">IF(D79="","",IFERROR(INDEX('Reference Tables'!$B$3:$B$8,MATCH(D79,'Reference Tables'!$A$3:$A$8,0)),"Invalid package"))</f>
        <v/>
      </c>
      <c r="F79" s="12" t="str">
        <f aca="false">IF(D79="","",IFERROR(INDEX('Reference Tables'!$C$3:$C$8,MATCH(D79,'Reference Tables'!$A$3:$A$8,0)),"Invalid package"))</f>
        <v/>
      </c>
      <c r="G79" s="14" t="str">
        <f aca="false">IF(E79="","",'Reference Tables'!$C$14)</f>
        <v/>
      </c>
      <c r="H79" s="12" t="str">
        <f aca="false">IF(E79="","",IF(E79&gt;=150,"Yes","No"))</f>
        <v/>
      </c>
      <c r="I79" s="13" t="str">
        <f aca="false">IF(E79="","",IF(H79="Yes",E79*G79,0))</f>
        <v/>
      </c>
      <c r="J79" s="13" t="str">
        <f aca="false">IF(E79="","",E79-I79)</f>
        <v/>
      </c>
      <c r="K79" s="6"/>
      <c r="L79" s="6"/>
    </row>
    <row r="80" customFormat="false" ht="15" hidden="false" customHeight="false" outlineLevel="0" collapsed="false">
      <c r="A80" s="11"/>
      <c r="B80" s="6"/>
      <c r="C80" s="12" t="str">
        <f aca="false">IF(B80="","",IFERROR(INDEX('Silver Registry'!$B$4:$B$103,MATCH(B80,'Silver Registry'!$A$4:$A$103,0)),"Not found"))</f>
        <v/>
      </c>
      <c r="D80" s="6"/>
      <c r="E80" s="13" t="str">
        <f aca="false">IF(D80="","",IFERROR(INDEX('Reference Tables'!$B$3:$B$8,MATCH(D80,'Reference Tables'!$A$3:$A$8,0)),"Invalid package"))</f>
        <v/>
      </c>
      <c r="F80" s="12" t="str">
        <f aca="false">IF(D80="","",IFERROR(INDEX('Reference Tables'!$C$3:$C$8,MATCH(D80,'Reference Tables'!$A$3:$A$8,0)),"Invalid package"))</f>
        <v/>
      </c>
      <c r="G80" s="14" t="str">
        <f aca="false">IF(E80="","",'Reference Tables'!$C$14)</f>
        <v/>
      </c>
      <c r="H80" s="12" t="str">
        <f aca="false">IF(E80="","",IF(E80&gt;=150,"Yes","No"))</f>
        <v/>
      </c>
      <c r="I80" s="13" t="str">
        <f aca="false">IF(E80="","",IF(H80="Yes",E80*G80,0))</f>
        <v/>
      </c>
      <c r="J80" s="13" t="str">
        <f aca="false">IF(E80="","",E80-I80)</f>
        <v/>
      </c>
      <c r="K80" s="6"/>
      <c r="L80" s="6"/>
    </row>
    <row r="81" customFormat="false" ht="15" hidden="false" customHeight="false" outlineLevel="0" collapsed="false">
      <c r="A81" s="11"/>
      <c r="B81" s="6"/>
      <c r="C81" s="12" t="str">
        <f aca="false">IF(B81="","",IFERROR(INDEX('Silver Registry'!$B$4:$B$103,MATCH(B81,'Silver Registry'!$A$4:$A$103,0)),"Not found"))</f>
        <v/>
      </c>
      <c r="D81" s="6"/>
      <c r="E81" s="13" t="str">
        <f aca="false">IF(D81="","",IFERROR(INDEX('Reference Tables'!$B$3:$B$8,MATCH(D81,'Reference Tables'!$A$3:$A$8,0)),"Invalid package"))</f>
        <v/>
      </c>
      <c r="F81" s="12" t="str">
        <f aca="false">IF(D81="","",IFERROR(INDEX('Reference Tables'!$C$3:$C$8,MATCH(D81,'Reference Tables'!$A$3:$A$8,0)),"Invalid package"))</f>
        <v/>
      </c>
      <c r="G81" s="14" t="str">
        <f aca="false">IF(E81="","",'Reference Tables'!$C$14)</f>
        <v/>
      </c>
      <c r="H81" s="12" t="str">
        <f aca="false">IF(E81="","",IF(E81&gt;=150,"Yes","No"))</f>
        <v/>
      </c>
      <c r="I81" s="13" t="str">
        <f aca="false">IF(E81="","",IF(H81="Yes",E81*G81,0))</f>
        <v/>
      </c>
      <c r="J81" s="13" t="str">
        <f aca="false">IF(E81="","",E81-I81)</f>
        <v/>
      </c>
      <c r="K81" s="6"/>
      <c r="L81" s="6"/>
    </row>
    <row r="82" customFormat="false" ht="15" hidden="false" customHeight="false" outlineLevel="0" collapsed="false">
      <c r="A82" s="11"/>
      <c r="B82" s="6"/>
      <c r="C82" s="12" t="str">
        <f aca="false">IF(B82="","",IFERROR(INDEX('Silver Registry'!$B$4:$B$103,MATCH(B82,'Silver Registry'!$A$4:$A$103,0)),"Not found"))</f>
        <v/>
      </c>
      <c r="D82" s="6"/>
      <c r="E82" s="13" t="str">
        <f aca="false">IF(D82="","",IFERROR(INDEX('Reference Tables'!$B$3:$B$8,MATCH(D82,'Reference Tables'!$A$3:$A$8,0)),"Invalid package"))</f>
        <v/>
      </c>
      <c r="F82" s="12" t="str">
        <f aca="false">IF(D82="","",IFERROR(INDEX('Reference Tables'!$C$3:$C$8,MATCH(D82,'Reference Tables'!$A$3:$A$8,0)),"Invalid package"))</f>
        <v/>
      </c>
      <c r="G82" s="14" t="str">
        <f aca="false">IF(E82="","",'Reference Tables'!$C$14)</f>
        <v/>
      </c>
      <c r="H82" s="12" t="str">
        <f aca="false">IF(E82="","",IF(E82&gt;=150,"Yes","No"))</f>
        <v/>
      </c>
      <c r="I82" s="13" t="str">
        <f aca="false">IF(E82="","",IF(H82="Yes",E82*G82,0))</f>
        <v/>
      </c>
      <c r="J82" s="13" t="str">
        <f aca="false">IF(E82="","",E82-I82)</f>
        <v/>
      </c>
      <c r="K82" s="6"/>
      <c r="L82" s="6"/>
    </row>
    <row r="83" customFormat="false" ht="15" hidden="false" customHeight="false" outlineLevel="0" collapsed="false">
      <c r="A83" s="11"/>
      <c r="B83" s="6"/>
      <c r="C83" s="12" t="str">
        <f aca="false">IF(B83="","",IFERROR(INDEX('Silver Registry'!$B$4:$B$103,MATCH(B83,'Silver Registry'!$A$4:$A$103,0)),"Not found"))</f>
        <v/>
      </c>
      <c r="D83" s="6"/>
      <c r="E83" s="13" t="str">
        <f aca="false">IF(D83="","",IFERROR(INDEX('Reference Tables'!$B$3:$B$8,MATCH(D83,'Reference Tables'!$A$3:$A$8,0)),"Invalid package"))</f>
        <v/>
      </c>
      <c r="F83" s="12" t="str">
        <f aca="false">IF(D83="","",IFERROR(INDEX('Reference Tables'!$C$3:$C$8,MATCH(D83,'Reference Tables'!$A$3:$A$8,0)),"Invalid package"))</f>
        <v/>
      </c>
      <c r="G83" s="14" t="str">
        <f aca="false">IF(E83="","",'Reference Tables'!$C$14)</f>
        <v/>
      </c>
      <c r="H83" s="12" t="str">
        <f aca="false">IF(E83="","",IF(E83&gt;=150,"Yes","No"))</f>
        <v/>
      </c>
      <c r="I83" s="13" t="str">
        <f aca="false">IF(E83="","",IF(H83="Yes",E83*G83,0))</f>
        <v/>
      </c>
      <c r="J83" s="13" t="str">
        <f aca="false">IF(E83="","",E83-I83)</f>
        <v/>
      </c>
      <c r="K83" s="6"/>
      <c r="L83" s="6"/>
    </row>
    <row r="84" customFormat="false" ht="15" hidden="false" customHeight="false" outlineLevel="0" collapsed="false">
      <c r="A84" s="11"/>
      <c r="B84" s="6"/>
      <c r="C84" s="12" t="str">
        <f aca="false">IF(B84="","",IFERROR(INDEX('Silver Registry'!$B$4:$B$103,MATCH(B84,'Silver Registry'!$A$4:$A$103,0)),"Not found"))</f>
        <v/>
      </c>
      <c r="D84" s="6"/>
      <c r="E84" s="13" t="str">
        <f aca="false">IF(D84="","",IFERROR(INDEX('Reference Tables'!$B$3:$B$8,MATCH(D84,'Reference Tables'!$A$3:$A$8,0)),"Invalid package"))</f>
        <v/>
      </c>
      <c r="F84" s="12" t="str">
        <f aca="false">IF(D84="","",IFERROR(INDEX('Reference Tables'!$C$3:$C$8,MATCH(D84,'Reference Tables'!$A$3:$A$8,0)),"Invalid package"))</f>
        <v/>
      </c>
      <c r="G84" s="14" t="str">
        <f aca="false">IF(E84="","",'Reference Tables'!$C$14)</f>
        <v/>
      </c>
      <c r="H84" s="12" t="str">
        <f aca="false">IF(E84="","",IF(E84&gt;=150,"Yes","No"))</f>
        <v/>
      </c>
      <c r="I84" s="13" t="str">
        <f aca="false">IF(E84="","",IF(H84="Yes",E84*G84,0))</f>
        <v/>
      </c>
      <c r="J84" s="13" t="str">
        <f aca="false">IF(E84="","",E84-I84)</f>
        <v/>
      </c>
      <c r="K84" s="6"/>
      <c r="L84" s="6"/>
    </row>
    <row r="85" customFormat="false" ht="15" hidden="false" customHeight="false" outlineLevel="0" collapsed="false">
      <c r="A85" s="11"/>
      <c r="B85" s="6"/>
      <c r="C85" s="12" t="str">
        <f aca="false">IF(B85="","",IFERROR(INDEX('Silver Registry'!$B$4:$B$103,MATCH(B85,'Silver Registry'!$A$4:$A$103,0)),"Not found"))</f>
        <v/>
      </c>
      <c r="D85" s="6"/>
      <c r="E85" s="13" t="str">
        <f aca="false">IF(D85="","",IFERROR(INDEX('Reference Tables'!$B$3:$B$8,MATCH(D85,'Reference Tables'!$A$3:$A$8,0)),"Invalid package"))</f>
        <v/>
      </c>
      <c r="F85" s="12" t="str">
        <f aca="false">IF(D85="","",IFERROR(INDEX('Reference Tables'!$C$3:$C$8,MATCH(D85,'Reference Tables'!$A$3:$A$8,0)),"Invalid package"))</f>
        <v/>
      </c>
      <c r="G85" s="14" t="str">
        <f aca="false">IF(E85="","",'Reference Tables'!$C$14)</f>
        <v/>
      </c>
      <c r="H85" s="12" t="str">
        <f aca="false">IF(E85="","",IF(E85&gt;=150,"Yes","No"))</f>
        <v/>
      </c>
      <c r="I85" s="13" t="str">
        <f aca="false">IF(E85="","",IF(H85="Yes",E85*G85,0))</f>
        <v/>
      </c>
      <c r="J85" s="13" t="str">
        <f aca="false">IF(E85="","",E85-I85)</f>
        <v/>
      </c>
      <c r="K85" s="6"/>
      <c r="L85" s="6"/>
    </row>
    <row r="86" customFormat="false" ht="15" hidden="false" customHeight="false" outlineLevel="0" collapsed="false">
      <c r="A86" s="11"/>
      <c r="B86" s="6"/>
      <c r="C86" s="12" t="str">
        <f aca="false">IF(B86="","",IFERROR(INDEX('Silver Registry'!$B$4:$B$103,MATCH(B86,'Silver Registry'!$A$4:$A$103,0)),"Not found"))</f>
        <v/>
      </c>
      <c r="D86" s="6"/>
      <c r="E86" s="13" t="str">
        <f aca="false">IF(D86="","",IFERROR(INDEX('Reference Tables'!$B$3:$B$8,MATCH(D86,'Reference Tables'!$A$3:$A$8,0)),"Invalid package"))</f>
        <v/>
      </c>
      <c r="F86" s="12" t="str">
        <f aca="false">IF(D86="","",IFERROR(INDEX('Reference Tables'!$C$3:$C$8,MATCH(D86,'Reference Tables'!$A$3:$A$8,0)),"Invalid package"))</f>
        <v/>
      </c>
      <c r="G86" s="14" t="str">
        <f aca="false">IF(E86="","",'Reference Tables'!$C$14)</f>
        <v/>
      </c>
      <c r="H86" s="12" t="str">
        <f aca="false">IF(E86="","",IF(E86&gt;=150,"Yes","No"))</f>
        <v/>
      </c>
      <c r="I86" s="13" t="str">
        <f aca="false">IF(E86="","",IF(H86="Yes",E86*G86,0))</f>
        <v/>
      </c>
      <c r="J86" s="13" t="str">
        <f aca="false">IF(E86="","",E86-I86)</f>
        <v/>
      </c>
      <c r="K86" s="6"/>
      <c r="L86" s="6"/>
    </row>
    <row r="87" customFormat="false" ht="15" hidden="false" customHeight="false" outlineLevel="0" collapsed="false">
      <c r="A87" s="11"/>
      <c r="B87" s="6"/>
      <c r="C87" s="12" t="str">
        <f aca="false">IF(B87="","",IFERROR(INDEX('Silver Registry'!$B$4:$B$103,MATCH(B87,'Silver Registry'!$A$4:$A$103,0)),"Not found"))</f>
        <v/>
      </c>
      <c r="D87" s="6"/>
      <c r="E87" s="13" t="str">
        <f aca="false">IF(D87="","",IFERROR(INDEX('Reference Tables'!$B$3:$B$8,MATCH(D87,'Reference Tables'!$A$3:$A$8,0)),"Invalid package"))</f>
        <v/>
      </c>
      <c r="F87" s="12" t="str">
        <f aca="false">IF(D87="","",IFERROR(INDEX('Reference Tables'!$C$3:$C$8,MATCH(D87,'Reference Tables'!$A$3:$A$8,0)),"Invalid package"))</f>
        <v/>
      </c>
      <c r="G87" s="14" t="str">
        <f aca="false">IF(E87="","",'Reference Tables'!$C$14)</f>
        <v/>
      </c>
      <c r="H87" s="12" t="str">
        <f aca="false">IF(E87="","",IF(E87&gt;=150,"Yes","No"))</f>
        <v/>
      </c>
      <c r="I87" s="13" t="str">
        <f aca="false">IF(E87="","",IF(H87="Yes",E87*G87,0))</f>
        <v/>
      </c>
      <c r="J87" s="13" t="str">
        <f aca="false">IF(E87="","",E87-I87)</f>
        <v/>
      </c>
      <c r="K87" s="6"/>
      <c r="L87" s="6"/>
    </row>
    <row r="88" customFormat="false" ht="15" hidden="false" customHeight="false" outlineLevel="0" collapsed="false">
      <c r="A88" s="11"/>
      <c r="B88" s="6"/>
      <c r="C88" s="12" t="str">
        <f aca="false">IF(B88="","",IFERROR(INDEX('Silver Registry'!$B$4:$B$103,MATCH(B88,'Silver Registry'!$A$4:$A$103,0)),"Not found"))</f>
        <v/>
      </c>
      <c r="D88" s="6"/>
      <c r="E88" s="13" t="str">
        <f aca="false">IF(D88="","",IFERROR(INDEX('Reference Tables'!$B$3:$B$8,MATCH(D88,'Reference Tables'!$A$3:$A$8,0)),"Invalid package"))</f>
        <v/>
      </c>
      <c r="F88" s="12" t="str">
        <f aca="false">IF(D88="","",IFERROR(INDEX('Reference Tables'!$C$3:$C$8,MATCH(D88,'Reference Tables'!$A$3:$A$8,0)),"Invalid package"))</f>
        <v/>
      </c>
      <c r="G88" s="14" t="str">
        <f aca="false">IF(E88="","",'Reference Tables'!$C$14)</f>
        <v/>
      </c>
      <c r="H88" s="12" t="str">
        <f aca="false">IF(E88="","",IF(E88&gt;=150,"Yes","No"))</f>
        <v/>
      </c>
      <c r="I88" s="13" t="str">
        <f aca="false">IF(E88="","",IF(H88="Yes",E88*G88,0))</f>
        <v/>
      </c>
      <c r="J88" s="13" t="str">
        <f aca="false">IF(E88="","",E88-I88)</f>
        <v/>
      </c>
      <c r="K88" s="6"/>
      <c r="L88" s="6"/>
    </row>
    <row r="89" customFormat="false" ht="15" hidden="false" customHeight="false" outlineLevel="0" collapsed="false">
      <c r="A89" s="11"/>
      <c r="B89" s="6"/>
      <c r="C89" s="12" t="str">
        <f aca="false">IF(B89="","",IFERROR(INDEX('Silver Registry'!$B$4:$B$103,MATCH(B89,'Silver Registry'!$A$4:$A$103,0)),"Not found"))</f>
        <v/>
      </c>
      <c r="D89" s="6"/>
      <c r="E89" s="13" t="str">
        <f aca="false">IF(D89="","",IFERROR(INDEX('Reference Tables'!$B$3:$B$8,MATCH(D89,'Reference Tables'!$A$3:$A$8,0)),"Invalid package"))</f>
        <v/>
      </c>
      <c r="F89" s="12" t="str">
        <f aca="false">IF(D89="","",IFERROR(INDEX('Reference Tables'!$C$3:$C$8,MATCH(D89,'Reference Tables'!$A$3:$A$8,0)),"Invalid package"))</f>
        <v/>
      </c>
      <c r="G89" s="14" t="str">
        <f aca="false">IF(E89="","",'Reference Tables'!$C$14)</f>
        <v/>
      </c>
      <c r="H89" s="12" t="str">
        <f aca="false">IF(E89="","",IF(E89&gt;=150,"Yes","No"))</f>
        <v/>
      </c>
      <c r="I89" s="13" t="str">
        <f aca="false">IF(E89="","",IF(H89="Yes",E89*G89,0))</f>
        <v/>
      </c>
      <c r="J89" s="13" t="str">
        <f aca="false">IF(E89="","",E89-I89)</f>
        <v/>
      </c>
      <c r="K89" s="6"/>
      <c r="L89" s="6"/>
    </row>
    <row r="90" customFormat="false" ht="15" hidden="false" customHeight="false" outlineLevel="0" collapsed="false">
      <c r="A90" s="11"/>
      <c r="B90" s="6"/>
      <c r="C90" s="12" t="str">
        <f aca="false">IF(B90="","",IFERROR(INDEX('Silver Registry'!$B$4:$B$103,MATCH(B90,'Silver Registry'!$A$4:$A$103,0)),"Not found"))</f>
        <v/>
      </c>
      <c r="D90" s="6"/>
      <c r="E90" s="13" t="str">
        <f aca="false">IF(D90="","",IFERROR(INDEX('Reference Tables'!$B$3:$B$8,MATCH(D90,'Reference Tables'!$A$3:$A$8,0)),"Invalid package"))</f>
        <v/>
      </c>
      <c r="F90" s="12" t="str">
        <f aca="false">IF(D90="","",IFERROR(INDEX('Reference Tables'!$C$3:$C$8,MATCH(D90,'Reference Tables'!$A$3:$A$8,0)),"Invalid package"))</f>
        <v/>
      </c>
      <c r="G90" s="14" t="str">
        <f aca="false">IF(E90="","",'Reference Tables'!$C$14)</f>
        <v/>
      </c>
      <c r="H90" s="12" t="str">
        <f aca="false">IF(E90="","",IF(E90&gt;=150,"Yes","No"))</f>
        <v/>
      </c>
      <c r="I90" s="13" t="str">
        <f aca="false">IF(E90="","",IF(H90="Yes",E90*G90,0))</f>
        <v/>
      </c>
      <c r="J90" s="13" t="str">
        <f aca="false">IF(E90="","",E90-I90)</f>
        <v/>
      </c>
      <c r="K90" s="6"/>
      <c r="L90" s="6"/>
    </row>
    <row r="91" customFormat="false" ht="15" hidden="false" customHeight="false" outlineLevel="0" collapsed="false">
      <c r="A91" s="11"/>
      <c r="B91" s="6"/>
      <c r="C91" s="12" t="str">
        <f aca="false">IF(B91="","",IFERROR(INDEX('Silver Registry'!$B$4:$B$103,MATCH(B91,'Silver Registry'!$A$4:$A$103,0)),"Not found"))</f>
        <v/>
      </c>
      <c r="D91" s="6"/>
      <c r="E91" s="13" t="str">
        <f aca="false">IF(D91="","",IFERROR(INDEX('Reference Tables'!$B$3:$B$8,MATCH(D91,'Reference Tables'!$A$3:$A$8,0)),"Invalid package"))</f>
        <v/>
      </c>
      <c r="F91" s="12" t="str">
        <f aca="false">IF(D91="","",IFERROR(INDEX('Reference Tables'!$C$3:$C$8,MATCH(D91,'Reference Tables'!$A$3:$A$8,0)),"Invalid package"))</f>
        <v/>
      </c>
      <c r="G91" s="14" t="str">
        <f aca="false">IF(E91="","",'Reference Tables'!$C$14)</f>
        <v/>
      </c>
      <c r="H91" s="12" t="str">
        <f aca="false">IF(E91="","",IF(E91&gt;=150,"Yes","No"))</f>
        <v/>
      </c>
      <c r="I91" s="13" t="str">
        <f aca="false">IF(E91="","",IF(H91="Yes",E91*G91,0))</f>
        <v/>
      </c>
      <c r="J91" s="13" t="str">
        <f aca="false">IF(E91="","",E91-I91)</f>
        <v/>
      </c>
      <c r="K91" s="6"/>
      <c r="L91" s="6"/>
    </row>
    <row r="92" customFormat="false" ht="15" hidden="false" customHeight="false" outlineLevel="0" collapsed="false">
      <c r="A92" s="11"/>
      <c r="B92" s="6"/>
      <c r="C92" s="12" t="str">
        <f aca="false">IF(B92="","",IFERROR(INDEX('Silver Registry'!$B$4:$B$103,MATCH(B92,'Silver Registry'!$A$4:$A$103,0)),"Not found"))</f>
        <v/>
      </c>
      <c r="D92" s="6"/>
      <c r="E92" s="13" t="str">
        <f aca="false">IF(D92="","",IFERROR(INDEX('Reference Tables'!$B$3:$B$8,MATCH(D92,'Reference Tables'!$A$3:$A$8,0)),"Invalid package"))</f>
        <v/>
      </c>
      <c r="F92" s="12" t="str">
        <f aca="false">IF(D92="","",IFERROR(INDEX('Reference Tables'!$C$3:$C$8,MATCH(D92,'Reference Tables'!$A$3:$A$8,0)),"Invalid package"))</f>
        <v/>
      </c>
      <c r="G92" s="14" t="str">
        <f aca="false">IF(E92="","",'Reference Tables'!$C$14)</f>
        <v/>
      </c>
      <c r="H92" s="12" t="str">
        <f aca="false">IF(E92="","",IF(E92&gt;=150,"Yes","No"))</f>
        <v/>
      </c>
      <c r="I92" s="13" t="str">
        <f aca="false">IF(E92="","",IF(H92="Yes",E92*G92,0))</f>
        <v/>
      </c>
      <c r="J92" s="13" t="str">
        <f aca="false">IF(E92="","",E92-I92)</f>
        <v/>
      </c>
      <c r="K92" s="6"/>
      <c r="L92" s="6"/>
    </row>
    <row r="93" customFormat="false" ht="15" hidden="false" customHeight="false" outlineLevel="0" collapsed="false">
      <c r="A93" s="11"/>
      <c r="B93" s="6"/>
      <c r="C93" s="12" t="str">
        <f aca="false">IF(B93="","",IFERROR(INDEX('Silver Registry'!$B$4:$B$103,MATCH(B93,'Silver Registry'!$A$4:$A$103,0)),"Not found"))</f>
        <v/>
      </c>
      <c r="D93" s="6"/>
      <c r="E93" s="13" t="str">
        <f aca="false">IF(D93="","",IFERROR(INDEX('Reference Tables'!$B$3:$B$8,MATCH(D93,'Reference Tables'!$A$3:$A$8,0)),"Invalid package"))</f>
        <v/>
      </c>
      <c r="F93" s="12" t="str">
        <f aca="false">IF(D93="","",IFERROR(INDEX('Reference Tables'!$C$3:$C$8,MATCH(D93,'Reference Tables'!$A$3:$A$8,0)),"Invalid package"))</f>
        <v/>
      </c>
      <c r="G93" s="14" t="str">
        <f aca="false">IF(E93="","",'Reference Tables'!$C$14)</f>
        <v/>
      </c>
      <c r="H93" s="12" t="str">
        <f aca="false">IF(E93="","",IF(E93&gt;=150,"Yes","No"))</f>
        <v/>
      </c>
      <c r="I93" s="13" t="str">
        <f aca="false">IF(E93="","",IF(H93="Yes",E93*G93,0))</f>
        <v/>
      </c>
      <c r="J93" s="13" t="str">
        <f aca="false">IF(E93="","",E93-I93)</f>
        <v/>
      </c>
      <c r="K93" s="6"/>
      <c r="L93" s="6"/>
    </row>
    <row r="94" customFormat="false" ht="15" hidden="false" customHeight="false" outlineLevel="0" collapsed="false">
      <c r="A94" s="11"/>
      <c r="B94" s="6"/>
      <c r="C94" s="12" t="str">
        <f aca="false">IF(B94="","",IFERROR(INDEX('Silver Registry'!$B$4:$B$103,MATCH(B94,'Silver Registry'!$A$4:$A$103,0)),"Not found"))</f>
        <v/>
      </c>
      <c r="D94" s="6"/>
      <c r="E94" s="13" t="str">
        <f aca="false">IF(D94="","",IFERROR(INDEX('Reference Tables'!$B$3:$B$8,MATCH(D94,'Reference Tables'!$A$3:$A$8,0)),"Invalid package"))</f>
        <v/>
      </c>
      <c r="F94" s="12" t="str">
        <f aca="false">IF(D94="","",IFERROR(INDEX('Reference Tables'!$C$3:$C$8,MATCH(D94,'Reference Tables'!$A$3:$A$8,0)),"Invalid package"))</f>
        <v/>
      </c>
      <c r="G94" s="14" t="str">
        <f aca="false">IF(E94="","",'Reference Tables'!$C$14)</f>
        <v/>
      </c>
      <c r="H94" s="12" t="str">
        <f aca="false">IF(E94="","",IF(E94&gt;=150,"Yes","No"))</f>
        <v/>
      </c>
      <c r="I94" s="13" t="str">
        <f aca="false">IF(E94="","",IF(H94="Yes",E94*G94,0))</f>
        <v/>
      </c>
      <c r="J94" s="13" t="str">
        <f aca="false">IF(E94="","",E94-I94)</f>
        <v/>
      </c>
      <c r="K94" s="6"/>
      <c r="L94" s="6"/>
    </row>
    <row r="95" customFormat="false" ht="15" hidden="false" customHeight="false" outlineLevel="0" collapsed="false">
      <c r="A95" s="11"/>
      <c r="B95" s="6"/>
      <c r="C95" s="12" t="str">
        <f aca="false">IF(B95="","",IFERROR(INDEX('Silver Registry'!$B$4:$B$103,MATCH(B95,'Silver Registry'!$A$4:$A$103,0)),"Not found"))</f>
        <v/>
      </c>
      <c r="D95" s="6"/>
      <c r="E95" s="13" t="str">
        <f aca="false">IF(D95="","",IFERROR(INDEX('Reference Tables'!$B$3:$B$8,MATCH(D95,'Reference Tables'!$A$3:$A$8,0)),"Invalid package"))</f>
        <v/>
      </c>
      <c r="F95" s="12" t="str">
        <f aca="false">IF(D95="","",IFERROR(INDEX('Reference Tables'!$C$3:$C$8,MATCH(D95,'Reference Tables'!$A$3:$A$8,0)),"Invalid package"))</f>
        <v/>
      </c>
      <c r="G95" s="14" t="str">
        <f aca="false">IF(E95="","",'Reference Tables'!$C$14)</f>
        <v/>
      </c>
      <c r="H95" s="12" t="str">
        <f aca="false">IF(E95="","",IF(E95&gt;=150,"Yes","No"))</f>
        <v/>
      </c>
      <c r="I95" s="13" t="str">
        <f aca="false">IF(E95="","",IF(H95="Yes",E95*G95,0))</f>
        <v/>
      </c>
      <c r="J95" s="13" t="str">
        <f aca="false">IF(E95="","",E95-I95)</f>
        <v/>
      </c>
      <c r="K95" s="6"/>
      <c r="L95" s="6"/>
    </row>
    <row r="96" customFormat="false" ht="15" hidden="false" customHeight="false" outlineLevel="0" collapsed="false">
      <c r="A96" s="11"/>
      <c r="B96" s="6"/>
      <c r="C96" s="12" t="str">
        <f aca="false">IF(B96="","",IFERROR(INDEX('Silver Registry'!$B$4:$B$103,MATCH(B96,'Silver Registry'!$A$4:$A$103,0)),"Not found"))</f>
        <v/>
      </c>
      <c r="D96" s="6"/>
      <c r="E96" s="13" t="str">
        <f aca="false">IF(D96="","",IFERROR(INDEX('Reference Tables'!$B$3:$B$8,MATCH(D96,'Reference Tables'!$A$3:$A$8,0)),"Invalid package"))</f>
        <v/>
      </c>
      <c r="F96" s="12" t="str">
        <f aca="false">IF(D96="","",IFERROR(INDEX('Reference Tables'!$C$3:$C$8,MATCH(D96,'Reference Tables'!$A$3:$A$8,0)),"Invalid package"))</f>
        <v/>
      </c>
      <c r="G96" s="14" t="str">
        <f aca="false">IF(E96="","",'Reference Tables'!$C$14)</f>
        <v/>
      </c>
      <c r="H96" s="12" t="str">
        <f aca="false">IF(E96="","",IF(E96&gt;=150,"Yes","No"))</f>
        <v/>
      </c>
      <c r="I96" s="13" t="str">
        <f aca="false">IF(E96="","",IF(H96="Yes",E96*G96,0))</f>
        <v/>
      </c>
      <c r="J96" s="13" t="str">
        <f aca="false">IF(E96="","",E96-I96)</f>
        <v/>
      </c>
      <c r="K96" s="6"/>
      <c r="L96" s="6"/>
    </row>
    <row r="97" customFormat="false" ht="15" hidden="false" customHeight="false" outlineLevel="0" collapsed="false">
      <c r="A97" s="11"/>
      <c r="B97" s="6"/>
      <c r="C97" s="12" t="str">
        <f aca="false">IF(B97="","",IFERROR(INDEX('Silver Registry'!$B$4:$B$103,MATCH(B97,'Silver Registry'!$A$4:$A$103,0)),"Not found"))</f>
        <v/>
      </c>
      <c r="D97" s="6"/>
      <c r="E97" s="13" t="str">
        <f aca="false">IF(D97="","",IFERROR(INDEX('Reference Tables'!$B$3:$B$8,MATCH(D97,'Reference Tables'!$A$3:$A$8,0)),"Invalid package"))</f>
        <v/>
      </c>
      <c r="F97" s="12" t="str">
        <f aca="false">IF(D97="","",IFERROR(INDEX('Reference Tables'!$C$3:$C$8,MATCH(D97,'Reference Tables'!$A$3:$A$8,0)),"Invalid package"))</f>
        <v/>
      </c>
      <c r="G97" s="14" t="str">
        <f aca="false">IF(E97="","",'Reference Tables'!$C$14)</f>
        <v/>
      </c>
      <c r="H97" s="12" t="str">
        <f aca="false">IF(E97="","",IF(E97&gt;=150,"Yes","No"))</f>
        <v/>
      </c>
      <c r="I97" s="13" t="str">
        <f aca="false">IF(E97="","",IF(H97="Yes",E97*G97,0))</f>
        <v/>
      </c>
      <c r="J97" s="13" t="str">
        <f aca="false">IF(E97="","",E97-I97)</f>
        <v/>
      </c>
      <c r="K97" s="6"/>
      <c r="L97" s="6"/>
    </row>
    <row r="98" customFormat="false" ht="15" hidden="false" customHeight="false" outlineLevel="0" collapsed="false">
      <c r="A98" s="11"/>
      <c r="B98" s="6"/>
      <c r="C98" s="12" t="str">
        <f aca="false">IF(B98="","",IFERROR(INDEX('Silver Registry'!$B$4:$B$103,MATCH(B98,'Silver Registry'!$A$4:$A$103,0)),"Not found"))</f>
        <v/>
      </c>
      <c r="D98" s="6"/>
      <c r="E98" s="13" t="str">
        <f aca="false">IF(D98="","",IFERROR(INDEX('Reference Tables'!$B$3:$B$8,MATCH(D98,'Reference Tables'!$A$3:$A$8,0)),"Invalid package"))</f>
        <v/>
      </c>
      <c r="F98" s="12" t="str">
        <f aca="false">IF(D98="","",IFERROR(INDEX('Reference Tables'!$C$3:$C$8,MATCH(D98,'Reference Tables'!$A$3:$A$8,0)),"Invalid package"))</f>
        <v/>
      </c>
      <c r="G98" s="14" t="str">
        <f aca="false">IF(E98="","",'Reference Tables'!$C$14)</f>
        <v/>
      </c>
      <c r="H98" s="12" t="str">
        <f aca="false">IF(E98="","",IF(E98&gt;=150,"Yes","No"))</f>
        <v/>
      </c>
      <c r="I98" s="13" t="str">
        <f aca="false">IF(E98="","",IF(H98="Yes",E98*G98,0))</f>
        <v/>
      </c>
      <c r="J98" s="13" t="str">
        <f aca="false">IF(E98="","",E98-I98)</f>
        <v/>
      </c>
      <c r="K98" s="6"/>
      <c r="L98" s="6"/>
    </row>
    <row r="99" customFormat="false" ht="15" hidden="false" customHeight="false" outlineLevel="0" collapsed="false">
      <c r="A99" s="11"/>
      <c r="B99" s="6"/>
      <c r="C99" s="12" t="str">
        <f aca="false">IF(B99="","",IFERROR(INDEX('Silver Registry'!$B$4:$B$103,MATCH(B99,'Silver Registry'!$A$4:$A$103,0)),"Not found"))</f>
        <v/>
      </c>
      <c r="D99" s="6"/>
      <c r="E99" s="13" t="str">
        <f aca="false">IF(D99="","",IFERROR(INDEX('Reference Tables'!$B$3:$B$8,MATCH(D99,'Reference Tables'!$A$3:$A$8,0)),"Invalid package"))</f>
        <v/>
      </c>
      <c r="F99" s="12" t="str">
        <f aca="false">IF(D99="","",IFERROR(INDEX('Reference Tables'!$C$3:$C$8,MATCH(D99,'Reference Tables'!$A$3:$A$8,0)),"Invalid package"))</f>
        <v/>
      </c>
      <c r="G99" s="14" t="str">
        <f aca="false">IF(E99="","",'Reference Tables'!$C$14)</f>
        <v/>
      </c>
      <c r="H99" s="12" t="str">
        <f aca="false">IF(E99="","",IF(E99&gt;=150,"Yes","No"))</f>
        <v/>
      </c>
      <c r="I99" s="13" t="str">
        <f aca="false">IF(E99="","",IF(H99="Yes",E99*G99,0))</f>
        <v/>
      </c>
      <c r="J99" s="13" t="str">
        <f aca="false">IF(E99="","",E99-I99)</f>
        <v/>
      </c>
      <c r="K99" s="6"/>
      <c r="L99" s="6"/>
    </row>
    <row r="100" customFormat="false" ht="15" hidden="false" customHeight="false" outlineLevel="0" collapsed="false">
      <c r="A100" s="11"/>
      <c r="B100" s="6"/>
      <c r="C100" s="12" t="str">
        <f aca="false">IF(B100="","",IFERROR(INDEX('Silver Registry'!$B$4:$B$103,MATCH(B100,'Silver Registry'!$A$4:$A$103,0)),"Not found"))</f>
        <v/>
      </c>
      <c r="D100" s="6"/>
      <c r="E100" s="13" t="str">
        <f aca="false">IF(D100="","",IFERROR(INDEX('Reference Tables'!$B$3:$B$8,MATCH(D100,'Reference Tables'!$A$3:$A$8,0)),"Invalid package"))</f>
        <v/>
      </c>
      <c r="F100" s="12" t="str">
        <f aca="false">IF(D100="","",IFERROR(INDEX('Reference Tables'!$C$3:$C$8,MATCH(D100,'Reference Tables'!$A$3:$A$8,0)),"Invalid package"))</f>
        <v/>
      </c>
      <c r="G100" s="14" t="str">
        <f aca="false">IF(E100="","",'Reference Tables'!$C$14)</f>
        <v/>
      </c>
      <c r="H100" s="12" t="str">
        <f aca="false">IF(E100="","",IF(E100&gt;=150,"Yes","No"))</f>
        <v/>
      </c>
      <c r="I100" s="13" t="str">
        <f aca="false">IF(E100="","",IF(H100="Yes",E100*G100,0))</f>
        <v/>
      </c>
      <c r="J100" s="13" t="str">
        <f aca="false">IF(E100="","",E100-I100)</f>
        <v/>
      </c>
      <c r="K100" s="6"/>
      <c r="L100" s="6"/>
    </row>
    <row r="101" customFormat="false" ht="15" hidden="false" customHeight="false" outlineLevel="0" collapsed="false">
      <c r="A101" s="11"/>
      <c r="B101" s="6"/>
      <c r="C101" s="12" t="str">
        <f aca="false">IF(B101="","",IFERROR(INDEX('Silver Registry'!$B$4:$B$103,MATCH(B101,'Silver Registry'!$A$4:$A$103,0)),"Not found"))</f>
        <v/>
      </c>
      <c r="D101" s="6"/>
      <c r="E101" s="13" t="str">
        <f aca="false">IF(D101="","",IFERROR(INDEX('Reference Tables'!$B$3:$B$8,MATCH(D101,'Reference Tables'!$A$3:$A$8,0)),"Invalid package"))</f>
        <v/>
      </c>
      <c r="F101" s="12" t="str">
        <f aca="false">IF(D101="","",IFERROR(INDEX('Reference Tables'!$C$3:$C$8,MATCH(D101,'Reference Tables'!$A$3:$A$8,0)),"Invalid package"))</f>
        <v/>
      </c>
      <c r="G101" s="14" t="str">
        <f aca="false">IF(E101="","",'Reference Tables'!$C$14)</f>
        <v/>
      </c>
      <c r="H101" s="12" t="str">
        <f aca="false">IF(E101="","",IF(E101&gt;=150,"Yes","No"))</f>
        <v/>
      </c>
      <c r="I101" s="13" t="str">
        <f aca="false">IF(E101="","",IF(H101="Yes",E101*G101,0))</f>
        <v/>
      </c>
      <c r="J101" s="13" t="str">
        <f aca="false">IF(E101="","",E101-I101)</f>
        <v/>
      </c>
      <c r="K101" s="6"/>
      <c r="L101" s="6"/>
    </row>
    <row r="102" customFormat="false" ht="15" hidden="false" customHeight="false" outlineLevel="0" collapsed="false">
      <c r="A102" s="11"/>
      <c r="B102" s="6"/>
      <c r="C102" s="12" t="str">
        <f aca="false">IF(B102="","",IFERROR(INDEX('Silver Registry'!$B$4:$B$103,MATCH(B102,'Silver Registry'!$A$4:$A$103,0)),"Not found"))</f>
        <v/>
      </c>
      <c r="D102" s="6"/>
      <c r="E102" s="13" t="str">
        <f aca="false">IF(D102="","",IFERROR(INDEX('Reference Tables'!$B$3:$B$8,MATCH(D102,'Reference Tables'!$A$3:$A$8,0)),"Invalid package"))</f>
        <v/>
      </c>
      <c r="F102" s="12" t="str">
        <f aca="false">IF(D102="","",IFERROR(INDEX('Reference Tables'!$C$3:$C$8,MATCH(D102,'Reference Tables'!$A$3:$A$8,0)),"Invalid package"))</f>
        <v/>
      </c>
      <c r="G102" s="14" t="str">
        <f aca="false">IF(E102="","",'Reference Tables'!$C$14)</f>
        <v/>
      </c>
      <c r="H102" s="12" t="str">
        <f aca="false">IF(E102="","",IF(E102&gt;=150,"Yes","No"))</f>
        <v/>
      </c>
      <c r="I102" s="13" t="str">
        <f aca="false">IF(E102="","",IF(H102="Yes",E102*G102,0))</f>
        <v/>
      </c>
      <c r="J102" s="13" t="str">
        <f aca="false">IF(E102="","",E102-I102)</f>
        <v/>
      </c>
      <c r="K102" s="6"/>
      <c r="L102" s="6"/>
    </row>
    <row r="103" customFormat="false" ht="15" hidden="false" customHeight="false" outlineLevel="0" collapsed="false">
      <c r="A103" s="11"/>
      <c r="B103" s="6"/>
      <c r="C103" s="12" t="str">
        <f aca="false">IF(B103="","",IFERROR(INDEX('Silver Registry'!$B$4:$B$103,MATCH(B103,'Silver Registry'!$A$4:$A$103,0)),"Not found"))</f>
        <v/>
      </c>
      <c r="D103" s="6"/>
      <c r="E103" s="13" t="str">
        <f aca="false">IF(D103="","",IFERROR(INDEX('Reference Tables'!$B$3:$B$8,MATCH(D103,'Reference Tables'!$A$3:$A$8,0)),"Invalid package"))</f>
        <v/>
      </c>
      <c r="F103" s="12" t="str">
        <f aca="false">IF(D103="","",IFERROR(INDEX('Reference Tables'!$C$3:$C$8,MATCH(D103,'Reference Tables'!$A$3:$A$8,0)),"Invalid package"))</f>
        <v/>
      </c>
      <c r="G103" s="14" t="str">
        <f aca="false">IF(E103="","",'Reference Tables'!$C$14)</f>
        <v/>
      </c>
      <c r="H103" s="12" t="str">
        <f aca="false">IF(E103="","",IF(E103&gt;=150,"Yes","No"))</f>
        <v/>
      </c>
      <c r="I103" s="13" t="str">
        <f aca="false">IF(E103="","",IF(H103="Yes",E103*G103,0))</f>
        <v/>
      </c>
      <c r="J103" s="13" t="str">
        <f aca="false">IF(E103="","",E103-I103)</f>
        <v/>
      </c>
      <c r="K103" s="6"/>
      <c r="L103" s="6"/>
    </row>
    <row r="104" customFormat="false" ht="15" hidden="false" customHeight="false" outlineLevel="0" collapsed="false">
      <c r="A104" s="11"/>
      <c r="B104" s="6"/>
      <c r="C104" s="12" t="str">
        <f aca="false">IF(B104="","",IFERROR(INDEX('Silver Registry'!$B$4:$B$103,MATCH(B104,'Silver Registry'!$A$4:$A$103,0)),"Not found"))</f>
        <v/>
      </c>
      <c r="D104" s="6"/>
      <c r="E104" s="13" t="str">
        <f aca="false">IF(D104="","",IFERROR(INDEX('Reference Tables'!$B$3:$B$8,MATCH(D104,'Reference Tables'!$A$3:$A$8,0)),"Invalid package"))</f>
        <v/>
      </c>
      <c r="F104" s="12" t="str">
        <f aca="false">IF(D104="","",IFERROR(INDEX('Reference Tables'!$C$3:$C$8,MATCH(D104,'Reference Tables'!$A$3:$A$8,0)),"Invalid package"))</f>
        <v/>
      </c>
      <c r="G104" s="14" t="str">
        <f aca="false">IF(E104="","",'Reference Tables'!$C$14)</f>
        <v/>
      </c>
      <c r="H104" s="12" t="str">
        <f aca="false">IF(E104="","",IF(E104&gt;=150,"Yes","No"))</f>
        <v/>
      </c>
      <c r="I104" s="13" t="str">
        <f aca="false">IF(E104="","",IF(H104="Yes",E104*G104,0))</f>
        <v/>
      </c>
      <c r="J104" s="13" t="str">
        <f aca="false">IF(E104="","",E104-I104)</f>
        <v/>
      </c>
      <c r="K104" s="6"/>
      <c r="L104" s="6"/>
    </row>
    <row r="105" customFormat="false" ht="15" hidden="false" customHeight="false" outlineLevel="0" collapsed="false">
      <c r="A105" s="11"/>
      <c r="B105" s="6"/>
      <c r="C105" s="12" t="str">
        <f aca="false">IF(B105="","",IFERROR(INDEX('Silver Registry'!$B$4:$B$103,MATCH(B105,'Silver Registry'!$A$4:$A$103,0)),"Not found"))</f>
        <v/>
      </c>
      <c r="D105" s="6"/>
      <c r="E105" s="13" t="str">
        <f aca="false">IF(D105="","",IFERROR(INDEX('Reference Tables'!$B$3:$B$8,MATCH(D105,'Reference Tables'!$A$3:$A$8,0)),"Invalid package"))</f>
        <v/>
      </c>
      <c r="F105" s="12" t="str">
        <f aca="false">IF(D105="","",IFERROR(INDEX('Reference Tables'!$C$3:$C$8,MATCH(D105,'Reference Tables'!$A$3:$A$8,0)),"Invalid package"))</f>
        <v/>
      </c>
      <c r="G105" s="14" t="str">
        <f aca="false">IF(E105="","",'Reference Tables'!$C$14)</f>
        <v/>
      </c>
      <c r="H105" s="12" t="str">
        <f aca="false">IF(E105="","",IF(E105&gt;=150,"Yes","No"))</f>
        <v/>
      </c>
      <c r="I105" s="13" t="str">
        <f aca="false">IF(E105="","",IF(H105="Yes",E105*G105,0))</f>
        <v/>
      </c>
      <c r="J105" s="13" t="str">
        <f aca="false">IF(E105="","",E105-I105)</f>
        <v/>
      </c>
      <c r="K105" s="6"/>
      <c r="L105" s="6"/>
    </row>
    <row r="106" customFormat="false" ht="15" hidden="false" customHeight="false" outlineLevel="0" collapsed="false">
      <c r="A106" s="11"/>
      <c r="B106" s="6"/>
      <c r="C106" s="12" t="str">
        <f aca="false">IF(B106="","",IFERROR(INDEX('Silver Registry'!$B$4:$B$103,MATCH(B106,'Silver Registry'!$A$4:$A$103,0)),"Not found"))</f>
        <v/>
      </c>
      <c r="D106" s="6"/>
      <c r="E106" s="13" t="str">
        <f aca="false">IF(D106="","",IFERROR(INDEX('Reference Tables'!$B$3:$B$8,MATCH(D106,'Reference Tables'!$A$3:$A$8,0)),"Invalid package"))</f>
        <v/>
      </c>
      <c r="F106" s="12" t="str">
        <f aca="false">IF(D106="","",IFERROR(INDEX('Reference Tables'!$C$3:$C$8,MATCH(D106,'Reference Tables'!$A$3:$A$8,0)),"Invalid package"))</f>
        <v/>
      </c>
      <c r="G106" s="14" t="str">
        <f aca="false">IF(E106="","",'Reference Tables'!$C$14)</f>
        <v/>
      </c>
      <c r="H106" s="12" t="str">
        <f aca="false">IF(E106="","",IF(E106&gt;=150,"Yes","No"))</f>
        <v/>
      </c>
      <c r="I106" s="13" t="str">
        <f aca="false">IF(E106="","",IF(H106="Yes",E106*G106,0))</f>
        <v/>
      </c>
      <c r="J106" s="13" t="str">
        <f aca="false">IF(E106="","",E106-I106)</f>
        <v/>
      </c>
      <c r="K106" s="6"/>
      <c r="L106" s="6"/>
    </row>
    <row r="107" customFormat="false" ht="15" hidden="false" customHeight="false" outlineLevel="0" collapsed="false">
      <c r="A107" s="11"/>
      <c r="B107" s="6"/>
      <c r="C107" s="12" t="str">
        <f aca="false">IF(B107="","",IFERROR(INDEX('Silver Registry'!$B$4:$B$103,MATCH(B107,'Silver Registry'!$A$4:$A$103,0)),"Not found"))</f>
        <v/>
      </c>
      <c r="D107" s="6"/>
      <c r="E107" s="13" t="str">
        <f aca="false">IF(D107="","",IFERROR(INDEX('Reference Tables'!$B$3:$B$8,MATCH(D107,'Reference Tables'!$A$3:$A$8,0)),"Invalid package"))</f>
        <v/>
      </c>
      <c r="F107" s="12" t="str">
        <f aca="false">IF(D107="","",IFERROR(INDEX('Reference Tables'!$C$3:$C$8,MATCH(D107,'Reference Tables'!$A$3:$A$8,0)),"Invalid package"))</f>
        <v/>
      </c>
      <c r="G107" s="14" t="str">
        <f aca="false">IF(E107="","",'Reference Tables'!$C$14)</f>
        <v/>
      </c>
      <c r="H107" s="12" t="str">
        <f aca="false">IF(E107="","",IF(E107&gt;=150,"Yes","No"))</f>
        <v/>
      </c>
      <c r="I107" s="13" t="str">
        <f aca="false">IF(E107="","",IF(H107="Yes",E107*G107,0))</f>
        <v/>
      </c>
      <c r="J107" s="13" t="str">
        <f aca="false">IF(E107="","",E107-I107)</f>
        <v/>
      </c>
      <c r="K107" s="6"/>
      <c r="L107" s="6"/>
    </row>
    <row r="108" customFormat="false" ht="15" hidden="false" customHeight="false" outlineLevel="0" collapsed="false">
      <c r="A108" s="11"/>
      <c r="B108" s="6"/>
      <c r="C108" s="12" t="str">
        <f aca="false">IF(B108="","",IFERROR(INDEX('Silver Registry'!$B$4:$B$103,MATCH(B108,'Silver Registry'!$A$4:$A$103,0)),"Not found"))</f>
        <v/>
      </c>
      <c r="D108" s="6"/>
      <c r="E108" s="13" t="str">
        <f aca="false">IF(D108="","",IFERROR(INDEX('Reference Tables'!$B$3:$B$8,MATCH(D108,'Reference Tables'!$A$3:$A$8,0)),"Invalid package"))</f>
        <v/>
      </c>
      <c r="F108" s="12" t="str">
        <f aca="false">IF(D108="","",IFERROR(INDEX('Reference Tables'!$C$3:$C$8,MATCH(D108,'Reference Tables'!$A$3:$A$8,0)),"Invalid package"))</f>
        <v/>
      </c>
      <c r="G108" s="14" t="str">
        <f aca="false">IF(E108="","",'Reference Tables'!$C$14)</f>
        <v/>
      </c>
      <c r="H108" s="12" t="str">
        <f aca="false">IF(E108="","",IF(E108&gt;=150,"Yes","No"))</f>
        <v/>
      </c>
      <c r="I108" s="13" t="str">
        <f aca="false">IF(E108="","",IF(H108="Yes",E108*G108,0))</f>
        <v/>
      </c>
      <c r="J108" s="13" t="str">
        <f aca="false">IF(E108="","",E108-I108)</f>
        <v/>
      </c>
      <c r="K108" s="6"/>
      <c r="L108" s="6"/>
    </row>
    <row r="109" customFormat="false" ht="15" hidden="false" customHeight="false" outlineLevel="0" collapsed="false">
      <c r="A109" s="11"/>
      <c r="B109" s="6"/>
      <c r="C109" s="12" t="str">
        <f aca="false">IF(B109="","",IFERROR(INDEX('Silver Registry'!$B$4:$B$103,MATCH(B109,'Silver Registry'!$A$4:$A$103,0)),"Not found"))</f>
        <v/>
      </c>
      <c r="D109" s="6"/>
      <c r="E109" s="13" t="str">
        <f aca="false">IF(D109="","",IFERROR(INDEX('Reference Tables'!$B$3:$B$8,MATCH(D109,'Reference Tables'!$A$3:$A$8,0)),"Invalid package"))</f>
        <v/>
      </c>
      <c r="F109" s="12" t="str">
        <f aca="false">IF(D109="","",IFERROR(INDEX('Reference Tables'!$C$3:$C$8,MATCH(D109,'Reference Tables'!$A$3:$A$8,0)),"Invalid package"))</f>
        <v/>
      </c>
      <c r="G109" s="14" t="str">
        <f aca="false">IF(E109="","",'Reference Tables'!$C$14)</f>
        <v/>
      </c>
      <c r="H109" s="12" t="str">
        <f aca="false">IF(E109="","",IF(E109&gt;=150,"Yes","No"))</f>
        <v/>
      </c>
      <c r="I109" s="13" t="str">
        <f aca="false">IF(E109="","",IF(H109="Yes",E109*G109,0))</f>
        <v/>
      </c>
      <c r="J109" s="13" t="str">
        <f aca="false">IF(E109="","",E109-I109)</f>
        <v/>
      </c>
      <c r="K109" s="6"/>
      <c r="L109" s="6"/>
    </row>
    <row r="110" customFormat="false" ht="15" hidden="false" customHeight="false" outlineLevel="0" collapsed="false">
      <c r="A110" s="11"/>
      <c r="B110" s="6"/>
      <c r="C110" s="12" t="str">
        <f aca="false">IF(B110="","",IFERROR(INDEX('Silver Registry'!$B$4:$B$103,MATCH(B110,'Silver Registry'!$A$4:$A$103,0)),"Not found"))</f>
        <v/>
      </c>
      <c r="D110" s="6"/>
      <c r="E110" s="13" t="str">
        <f aca="false">IF(D110="","",IFERROR(INDEX('Reference Tables'!$B$3:$B$8,MATCH(D110,'Reference Tables'!$A$3:$A$8,0)),"Invalid package"))</f>
        <v/>
      </c>
      <c r="F110" s="12" t="str">
        <f aca="false">IF(D110="","",IFERROR(INDEX('Reference Tables'!$C$3:$C$8,MATCH(D110,'Reference Tables'!$A$3:$A$8,0)),"Invalid package"))</f>
        <v/>
      </c>
      <c r="G110" s="14" t="str">
        <f aca="false">IF(E110="","",'Reference Tables'!$C$14)</f>
        <v/>
      </c>
      <c r="H110" s="12" t="str">
        <f aca="false">IF(E110="","",IF(E110&gt;=150,"Yes","No"))</f>
        <v/>
      </c>
      <c r="I110" s="13" t="str">
        <f aca="false">IF(E110="","",IF(H110="Yes",E110*G110,0))</f>
        <v/>
      </c>
      <c r="J110" s="13" t="str">
        <f aca="false">IF(E110="","",E110-I110)</f>
        <v/>
      </c>
      <c r="K110" s="6"/>
      <c r="L110" s="6"/>
    </row>
    <row r="111" customFormat="false" ht="15" hidden="false" customHeight="false" outlineLevel="0" collapsed="false">
      <c r="A111" s="11"/>
      <c r="B111" s="6"/>
      <c r="C111" s="12" t="str">
        <f aca="false">IF(B111="","",IFERROR(INDEX('Silver Registry'!$B$4:$B$103,MATCH(B111,'Silver Registry'!$A$4:$A$103,0)),"Not found"))</f>
        <v/>
      </c>
      <c r="D111" s="6"/>
      <c r="E111" s="13" t="str">
        <f aca="false">IF(D111="","",IFERROR(INDEX('Reference Tables'!$B$3:$B$8,MATCH(D111,'Reference Tables'!$A$3:$A$8,0)),"Invalid package"))</f>
        <v/>
      </c>
      <c r="F111" s="12" t="str">
        <f aca="false">IF(D111="","",IFERROR(INDEX('Reference Tables'!$C$3:$C$8,MATCH(D111,'Reference Tables'!$A$3:$A$8,0)),"Invalid package"))</f>
        <v/>
      </c>
      <c r="G111" s="14" t="str">
        <f aca="false">IF(E111="","",'Reference Tables'!$C$14)</f>
        <v/>
      </c>
      <c r="H111" s="12" t="str">
        <f aca="false">IF(E111="","",IF(E111&gt;=150,"Yes","No"))</f>
        <v/>
      </c>
      <c r="I111" s="13" t="str">
        <f aca="false">IF(E111="","",IF(H111="Yes",E111*G111,0))</f>
        <v/>
      </c>
      <c r="J111" s="13" t="str">
        <f aca="false">IF(E111="","",E111-I111)</f>
        <v/>
      </c>
      <c r="K111" s="6"/>
      <c r="L111" s="6"/>
    </row>
    <row r="112" customFormat="false" ht="15" hidden="false" customHeight="false" outlineLevel="0" collapsed="false">
      <c r="A112" s="11"/>
      <c r="B112" s="6"/>
      <c r="C112" s="12" t="str">
        <f aca="false">IF(B112="","",IFERROR(INDEX('Silver Registry'!$B$4:$B$103,MATCH(B112,'Silver Registry'!$A$4:$A$103,0)),"Not found"))</f>
        <v/>
      </c>
      <c r="D112" s="6"/>
      <c r="E112" s="13" t="str">
        <f aca="false">IF(D112="","",IFERROR(INDEX('Reference Tables'!$B$3:$B$8,MATCH(D112,'Reference Tables'!$A$3:$A$8,0)),"Invalid package"))</f>
        <v/>
      </c>
      <c r="F112" s="12" t="str">
        <f aca="false">IF(D112="","",IFERROR(INDEX('Reference Tables'!$C$3:$C$8,MATCH(D112,'Reference Tables'!$A$3:$A$8,0)),"Invalid package"))</f>
        <v/>
      </c>
      <c r="G112" s="14" t="str">
        <f aca="false">IF(E112="","",'Reference Tables'!$C$14)</f>
        <v/>
      </c>
      <c r="H112" s="12" t="str">
        <f aca="false">IF(E112="","",IF(E112&gt;=150,"Yes","No"))</f>
        <v/>
      </c>
      <c r="I112" s="13" t="str">
        <f aca="false">IF(E112="","",IF(H112="Yes",E112*G112,0))</f>
        <v/>
      </c>
      <c r="J112" s="13" t="str">
        <f aca="false">IF(E112="","",E112-I112)</f>
        <v/>
      </c>
      <c r="K112" s="6"/>
      <c r="L112" s="6"/>
    </row>
    <row r="113" customFormat="false" ht="15" hidden="false" customHeight="false" outlineLevel="0" collapsed="false">
      <c r="A113" s="11"/>
      <c r="B113" s="6"/>
      <c r="C113" s="12" t="str">
        <f aca="false">IF(B113="","",IFERROR(INDEX('Silver Registry'!$B$4:$B$103,MATCH(B113,'Silver Registry'!$A$4:$A$103,0)),"Not found"))</f>
        <v/>
      </c>
      <c r="D113" s="6"/>
      <c r="E113" s="13" t="str">
        <f aca="false">IF(D113="","",IFERROR(INDEX('Reference Tables'!$B$3:$B$8,MATCH(D113,'Reference Tables'!$A$3:$A$8,0)),"Invalid package"))</f>
        <v/>
      </c>
      <c r="F113" s="12" t="str">
        <f aca="false">IF(D113="","",IFERROR(INDEX('Reference Tables'!$C$3:$C$8,MATCH(D113,'Reference Tables'!$A$3:$A$8,0)),"Invalid package"))</f>
        <v/>
      </c>
      <c r="G113" s="14" t="str">
        <f aca="false">IF(E113="","",'Reference Tables'!$C$14)</f>
        <v/>
      </c>
      <c r="H113" s="12" t="str">
        <f aca="false">IF(E113="","",IF(E113&gt;=150,"Yes","No"))</f>
        <v/>
      </c>
      <c r="I113" s="13" t="str">
        <f aca="false">IF(E113="","",IF(H113="Yes",E113*G113,0))</f>
        <v/>
      </c>
      <c r="J113" s="13" t="str">
        <f aca="false">IF(E113="","",E113-I113)</f>
        <v/>
      </c>
      <c r="K113" s="6"/>
      <c r="L113" s="6"/>
    </row>
    <row r="114" customFormat="false" ht="15" hidden="false" customHeight="false" outlineLevel="0" collapsed="false">
      <c r="A114" s="11"/>
      <c r="B114" s="6"/>
      <c r="C114" s="12" t="str">
        <f aca="false">IF(B114="","",IFERROR(INDEX('Silver Registry'!$B$4:$B$103,MATCH(B114,'Silver Registry'!$A$4:$A$103,0)),"Not found"))</f>
        <v/>
      </c>
      <c r="D114" s="6"/>
      <c r="E114" s="13" t="str">
        <f aca="false">IF(D114="","",IFERROR(INDEX('Reference Tables'!$B$3:$B$8,MATCH(D114,'Reference Tables'!$A$3:$A$8,0)),"Invalid package"))</f>
        <v/>
      </c>
      <c r="F114" s="12" t="str">
        <f aca="false">IF(D114="","",IFERROR(INDEX('Reference Tables'!$C$3:$C$8,MATCH(D114,'Reference Tables'!$A$3:$A$8,0)),"Invalid package"))</f>
        <v/>
      </c>
      <c r="G114" s="14" t="str">
        <f aca="false">IF(E114="","",'Reference Tables'!$C$14)</f>
        <v/>
      </c>
      <c r="H114" s="12" t="str">
        <f aca="false">IF(E114="","",IF(E114&gt;=150,"Yes","No"))</f>
        <v/>
      </c>
      <c r="I114" s="13" t="str">
        <f aca="false">IF(E114="","",IF(H114="Yes",E114*G114,0))</f>
        <v/>
      </c>
      <c r="J114" s="13" t="str">
        <f aca="false">IF(E114="","",E114-I114)</f>
        <v/>
      </c>
      <c r="K114" s="6"/>
      <c r="L114" s="6"/>
    </row>
    <row r="115" customFormat="false" ht="15" hidden="false" customHeight="false" outlineLevel="0" collapsed="false">
      <c r="A115" s="11"/>
      <c r="B115" s="6"/>
      <c r="C115" s="12" t="str">
        <f aca="false">IF(B115="","",IFERROR(INDEX('Silver Registry'!$B$4:$B$103,MATCH(B115,'Silver Registry'!$A$4:$A$103,0)),"Not found"))</f>
        <v/>
      </c>
      <c r="D115" s="6"/>
      <c r="E115" s="13" t="str">
        <f aca="false">IF(D115="","",IFERROR(INDEX('Reference Tables'!$B$3:$B$8,MATCH(D115,'Reference Tables'!$A$3:$A$8,0)),"Invalid package"))</f>
        <v/>
      </c>
      <c r="F115" s="12" t="str">
        <f aca="false">IF(D115="","",IFERROR(INDEX('Reference Tables'!$C$3:$C$8,MATCH(D115,'Reference Tables'!$A$3:$A$8,0)),"Invalid package"))</f>
        <v/>
      </c>
      <c r="G115" s="14" t="str">
        <f aca="false">IF(E115="","",'Reference Tables'!$C$14)</f>
        <v/>
      </c>
      <c r="H115" s="12" t="str">
        <f aca="false">IF(E115="","",IF(E115&gt;=150,"Yes","No"))</f>
        <v/>
      </c>
      <c r="I115" s="13" t="str">
        <f aca="false">IF(E115="","",IF(H115="Yes",E115*G115,0))</f>
        <v/>
      </c>
      <c r="J115" s="13" t="str">
        <f aca="false">IF(E115="","",E115-I115)</f>
        <v/>
      </c>
      <c r="K115" s="6"/>
      <c r="L115" s="6"/>
    </row>
    <row r="116" customFormat="false" ht="15" hidden="false" customHeight="false" outlineLevel="0" collapsed="false">
      <c r="A116" s="11"/>
      <c r="B116" s="6"/>
      <c r="C116" s="12" t="str">
        <f aca="false">IF(B116="","",IFERROR(INDEX('Silver Registry'!$B$4:$B$103,MATCH(B116,'Silver Registry'!$A$4:$A$103,0)),"Not found"))</f>
        <v/>
      </c>
      <c r="D116" s="6"/>
      <c r="E116" s="13" t="str">
        <f aca="false">IF(D116="","",IFERROR(INDEX('Reference Tables'!$B$3:$B$8,MATCH(D116,'Reference Tables'!$A$3:$A$8,0)),"Invalid package"))</f>
        <v/>
      </c>
      <c r="F116" s="12" t="str">
        <f aca="false">IF(D116="","",IFERROR(INDEX('Reference Tables'!$C$3:$C$8,MATCH(D116,'Reference Tables'!$A$3:$A$8,0)),"Invalid package"))</f>
        <v/>
      </c>
      <c r="G116" s="14" t="str">
        <f aca="false">IF(E116="","",'Reference Tables'!$C$14)</f>
        <v/>
      </c>
      <c r="H116" s="12" t="str">
        <f aca="false">IF(E116="","",IF(E116&gt;=150,"Yes","No"))</f>
        <v/>
      </c>
      <c r="I116" s="13" t="str">
        <f aca="false">IF(E116="","",IF(H116="Yes",E116*G116,0))</f>
        <v/>
      </c>
      <c r="J116" s="13" t="str">
        <f aca="false">IF(E116="","",E116-I116)</f>
        <v/>
      </c>
      <c r="K116" s="6"/>
      <c r="L116" s="6"/>
    </row>
    <row r="117" customFormat="false" ht="15" hidden="false" customHeight="false" outlineLevel="0" collapsed="false">
      <c r="A117" s="11"/>
      <c r="B117" s="6"/>
      <c r="C117" s="12" t="str">
        <f aca="false">IF(B117="","",IFERROR(INDEX('Silver Registry'!$B$4:$B$103,MATCH(B117,'Silver Registry'!$A$4:$A$103,0)),"Not found"))</f>
        <v/>
      </c>
      <c r="D117" s="6"/>
      <c r="E117" s="13" t="str">
        <f aca="false">IF(D117="","",IFERROR(INDEX('Reference Tables'!$B$3:$B$8,MATCH(D117,'Reference Tables'!$A$3:$A$8,0)),"Invalid package"))</f>
        <v/>
      </c>
      <c r="F117" s="12" t="str">
        <f aca="false">IF(D117="","",IFERROR(INDEX('Reference Tables'!$C$3:$C$8,MATCH(D117,'Reference Tables'!$A$3:$A$8,0)),"Invalid package"))</f>
        <v/>
      </c>
      <c r="G117" s="14" t="str">
        <f aca="false">IF(E117="","",'Reference Tables'!$C$14)</f>
        <v/>
      </c>
      <c r="H117" s="12" t="str">
        <f aca="false">IF(E117="","",IF(E117&gt;=150,"Yes","No"))</f>
        <v/>
      </c>
      <c r="I117" s="13" t="str">
        <f aca="false">IF(E117="","",IF(H117="Yes",E117*G117,0))</f>
        <v/>
      </c>
      <c r="J117" s="13" t="str">
        <f aca="false">IF(E117="","",E117-I117)</f>
        <v/>
      </c>
      <c r="K117" s="6"/>
      <c r="L117" s="6"/>
    </row>
    <row r="118" customFormat="false" ht="15" hidden="false" customHeight="false" outlineLevel="0" collapsed="false">
      <c r="A118" s="11"/>
      <c r="B118" s="6"/>
      <c r="C118" s="12" t="str">
        <f aca="false">IF(B118="","",IFERROR(INDEX('Silver Registry'!$B$4:$B$103,MATCH(B118,'Silver Registry'!$A$4:$A$103,0)),"Not found"))</f>
        <v/>
      </c>
      <c r="D118" s="6"/>
      <c r="E118" s="13" t="str">
        <f aca="false">IF(D118="","",IFERROR(INDEX('Reference Tables'!$B$3:$B$8,MATCH(D118,'Reference Tables'!$A$3:$A$8,0)),"Invalid package"))</f>
        <v/>
      </c>
      <c r="F118" s="12" t="str">
        <f aca="false">IF(D118="","",IFERROR(INDEX('Reference Tables'!$C$3:$C$8,MATCH(D118,'Reference Tables'!$A$3:$A$8,0)),"Invalid package"))</f>
        <v/>
      </c>
      <c r="G118" s="14" t="str">
        <f aca="false">IF(E118="","",'Reference Tables'!$C$14)</f>
        <v/>
      </c>
      <c r="H118" s="12" t="str">
        <f aca="false">IF(E118="","",IF(E118&gt;=150,"Yes","No"))</f>
        <v/>
      </c>
      <c r="I118" s="13" t="str">
        <f aca="false">IF(E118="","",IF(H118="Yes",E118*G118,0))</f>
        <v/>
      </c>
      <c r="J118" s="13" t="str">
        <f aca="false">IF(E118="","",E118-I118)</f>
        <v/>
      </c>
      <c r="K118" s="6"/>
      <c r="L118" s="6"/>
    </row>
    <row r="119" customFormat="false" ht="15" hidden="false" customHeight="false" outlineLevel="0" collapsed="false">
      <c r="A119" s="11"/>
      <c r="B119" s="6"/>
      <c r="C119" s="12" t="str">
        <f aca="false">IF(B119="","",IFERROR(INDEX('Silver Registry'!$B$4:$B$103,MATCH(B119,'Silver Registry'!$A$4:$A$103,0)),"Not found"))</f>
        <v/>
      </c>
      <c r="D119" s="6"/>
      <c r="E119" s="13" t="str">
        <f aca="false">IF(D119="","",IFERROR(INDEX('Reference Tables'!$B$3:$B$8,MATCH(D119,'Reference Tables'!$A$3:$A$8,0)),"Invalid package"))</f>
        <v/>
      </c>
      <c r="F119" s="12" t="str">
        <f aca="false">IF(D119="","",IFERROR(INDEX('Reference Tables'!$C$3:$C$8,MATCH(D119,'Reference Tables'!$A$3:$A$8,0)),"Invalid package"))</f>
        <v/>
      </c>
      <c r="G119" s="14" t="str">
        <f aca="false">IF(E119="","",'Reference Tables'!$C$14)</f>
        <v/>
      </c>
      <c r="H119" s="12" t="str">
        <f aca="false">IF(E119="","",IF(E119&gt;=150,"Yes","No"))</f>
        <v/>
      </c>
      <c r="I119" s="13" t="str">
        <f aca="false">IF(E119="","",IF(H119="Yes",E119*G119,0))</f>
        <v/>
      </c>
      <c r="J119" s="13" t="str">
        <f aca="false">IF(E119="","",E119-I119)</f>
        <v/>
      </c>
      <c r="K119" s="6"/>
      <c r="L119" s="6"/>
    </row>
    <row r="120" customFormat="false" ht="15" hidden="false" customHeight="false" outlineLevel="0" collapsed="false">
      <c r="A120" s="11"/>
      <c r="B120" s="6"/>
      <c r="C120" s="12" t="str">
        <f aca="false">IF(B120="","",IFERROR(INDEX('Silver Registry'!$B$4:$B$103,MATCH(B120,'Silver Registry'!$A$4:$A$103,0)),"Not found"))</f>
        <v/>
      </c>
      <c r="D120" s="6"/>
      <c r="E120" s="13" t="str">
        <f aca="false">IF(D120="","",IFERROR(INDEX('Reference Tables'!$B$3:$B$8,MATCH(D120,'Reference Tables'!$A$3:$A$8,0)),"Invalid package"))</f>
        <v/>
      </c>
      <c r="F120" s="12" t="str">
        <f aca="false">IF(D120="","",IFERROR(INDEX('Reference Tables'!$C$3:$C$8,MATCH(D120,'Reference Tables'!$A$3:$A$8,0)),"Invalid package"))</f>
        <v/>
      </c>
      <c r="G120" s="14" t="str">
        <f aca="false">IF(E120="","",'Reference Tables'!$C$14)</f>
        <v/>
      </c>
      <c r="H120" s="12" t="str">
        <f aca="false">IF(E120="","",IF(E120&gt;=150,"Yes","No"))</f>
        <v/>
      </c>
      <c r="I120" s="13" t="str">
        <f aca="false">IF(E120="","",IF(H120="Yes",E120*G120,0))</f>
        <v/>
      </c>
      <c r="J120" s="13" t="str">
        <f aca="false">IF(E120="","",E120-I120)</f>
        <v/>
      </c>
      <c r="K120" s="6"/>
      <c r="L120" s="6"/>
    </row>
    <row r="121" customFormat="false" ht="15" hidden="false" customHeight="false" outlineLevel="0" collapsed="false">
      <c r="A121" s="11"/>
      <c r="B121" s="6"/>
      <c r="C121" s="12" t="str">
        <f aca="false">IF(B121="","",IFERROR(INDEX('Silver Registry'!$B$4:$B$103,MATCH(B121,'Silver Registry'!$A$4:$A$103,0)),"Not found"))</f>
        <v/>
      </c>
      <c r="D121" s="6"/>
      <c r="E121" s="13" t="str">
        <f aca="false">IF(D121="","",IFERROR(INDEX('Reference Tables'!$B$3:$B$8,MATCH(D121,'Reference Tables'!$A$3:$A$8,0)),"Invalid package"))</f>
        <v/>
      </c>
      <c r="F121" s="12" t="str">
        <f aca="false">IF(D121="","",IFERROR(INDEX('Reference Tables'!$C$3:$C$8,MATCH(D121,'Reference Tables'!$A$3:$A$8,0)),"Invalid package"))</f>
        <v/>
      </c>
      <c r="G121" s="14" t="str">
        <f aca="false">IF(E121="","",'Reference Tables'!$C$14)</f>
        <v/>
      </c>
      <c r="H121" s="12" t="str">
        <f aca="false">IF(E121="","",IF(E121&gt;=150,"Yes","No"))</f>
        <v/>
      </c>
      <c r="I121" s="13" t="str">
        <f aca="false">IF(E121="","",IF(H121="Yes",E121*G121,0))</f>
        <v/>
      </c>
      <c r="J121" s="13" t="str">
        <f aca="false">IF(E121="","",E121-I121)</f>
        <v/>
      </c>
      <c r="K121" s="6"/>
      <c r="L121" s="6"/>
    </row>
    <row r="122" customFormat="false" ht="15" hidden="false" customHeight="false" outlineLevel="0" collapsed="false">
      <c r="A122" s="11"/>
      <c r="B122" s="6"/>
      <c r="C122" s="12" t="str">
        <f aca="false">IF(B122="","",IFERROR(INDEX('Silver Registry'!$B$4:$B$103,MATCH(B122,'Silver Registry'!$A$4:$A$103,0)),"Not found"))</f>
        <v/>
      </c>
      <c r="D122" s="6"/>
      <c r="E122" s="13" t="str">
        <f aca="false">IF(D122="","",IFERROR(INDEX('Reference Tables'!$B$3:$B$8,MATCH(D122,'Reference Tables'!$A$3:$A$8,0)),"Invalid package"))</f>
        <v/>
      </c>
      <c r="F122" s="12" t="str">
        <f aca="false">IF(D122="","",IFERROR(INDEX('Reference Tables'!$C$3:$C$8,MATCH(D122,'Reference Tables'!$A$3:$A$8,0)),"Invalid package"))</f>
        <v/>
      </c>
      <c r="G122" s="14" t="str">
        <f aca="false">IF(E122="","",'Reference Tables'!$C$14)</f>
        <v/>
      </c>
      <c r="H122" s="12" t="str">
        <f aca="false">IF(E122="","",IF(E122&gt;=150,"Yes","No"))</f>
        <v/>
      </c>
      <c r="I122" s="13" t="str">
        <f aca="false">IF(E122="","",IF(H122="Yes",E122*G122,0))</f>
        <v/>
      </c>
      <c r="J122" s="13" t="str">
        <f aca="false">IF(E122="","",E122-I122)</f>
        <v/>
      </c>
      <c r="K122" s="6"/>
      <c r="L122" s="6"/>
    </row>
    <row r="123" customFormat="false" ht="15" hidden="false" customHeight="false" outlineLevel="0" collapsed="false">
      <c r="A123" s="11"/>
      <c r="B123" s="6"/>
      <c r="C123" s="12" t="str">
        <f aca="false">IF(B123="","",IFERROR(INDEX('Silver Registry'!$B$4:$B$103,MATCH(B123,'Silver Registry'!$A$4:$A$103,0)),"Not found"))</f>
        <v/>
      </c>
      <c r="D123" s="6"/>
      <c r="E123" s="13" t="str">
        <f aca="false">IF(D123="","",IFERROR(INDEX('Reference Tables'!$B$3:$B$8,MATCH(D123,'Reference Tables'!$A$3:$A$8,0)),"Invalid package"))</f>
        <v/>
      </c>
      <c r="F123" s="12" t="str">
        <f aca="false">IF(D123="","",IFERROR(INDEX('Reference Tables'!$C$3:$C$8,MATCH(D123,'Reference Tables'!$A$3:$A$8,0)),"Invalid package"))</f>
        <v/>
      </c>
      <c r="G123" s="14" t="str">
        <f aca="false">IF(E123="","",'Reference Tables'!$C$14)</f>
        <v/>
      </c>
      <c r="H123" s="12" t="str">
        <f aca="false">IF(E123="","",IF(E123&gt;=150,"Yes","No"))</f>
        <v/>
      </c>
      <c r="I123" s="13" t="str">
        <f aca="false">IF(E123="","",IF(H123="Yes",E123*G123,0))</f>
        <v/>
      </c>
      <c r="J123" s="13" t="str">
        <f aca="false">IF(E123="","",E123-I123)</f>
        <v/>
      </c>
      <c r="K123" s="6"/>
      <c r="L123" s="6"/>
    </row>
    <row r="124" customFormat="false" ht="15" hidden="false" customHeight="false" outlineLevel="0" collapsed="false">
      <c r="A124" s="11"/>
      <c r="B124" s="6"/>
      <c r="C124" s="12" t="str">
        <f aca="false">IF(B124="","",IFERROR(INDEX('Silver Registry'!$B$4:$B$103,MATCH(B124,'Silver Registry'!$A$4:$A$103,0)),"Not found"))</f>
        <v/>
      </c>
      <c r="D124" s="6"/>
      <c r="E124" s="13" t="str">
        <f aca="false">IF(D124="","",IFERROR(INDEX('Reference Tables'!$B$3:$B$8,MATCH(D124,'Reference Tables'!$A$3:$A$8,0)),"Invalid package"))</f>
        <v/>
      </c>
      <c r="F124" s="12" t="str">
        <f aca="false">IF(D124="","",IFERROR(INDEX('Reference Tables'!$C$3:$C$8,MATCH(D124,'Reference Tables'!$A$3:$A$8,0)),"Invalid package"))</f>
        <v/>
      </c>
      <c r="G124" s="14" t="str">
        <f aca="false">IF(E124="","",'Reference Tables'!$C$14)</f>
        <v/>
      </c>
      <c r="H124" s="12" t="str">
        <f aca="false">IF(E124="","",IF(E124&gt;=150,"Yes","No"))</f>
        <v/>
      </c>
      <c r="I124" s="13" t="str">
        <f aca="false">IF(E124="","",IF(H124="Yes",E124*G124,0))</f>
        <v/>
      </c>
      <c r="J124" s="13" t="str">
        <f aca="false">IF(E124="","",E124-I124)</f>
        <v/>
      </c>
      <c r="K124" s="6"/>
      <c r="L124" s="6"/>
    </row>
    <row r="125" customFormat="false" ht="15" hidden="false" customHeight="false" outlineLevel="0" collapsed="false">
      <c r="A125" s="11"/>
      <c r="B125" s="6"/>
      <c r="C125" s="12" t="str">
        <f aca="false">IF(B125="","",IFERROR(INDEX('Silver Registry'!$B$4:$B$103,MATCH(B125,'Silver Registry'!$A$4:$A$103,0)),"Not found"))</f>
        <v/>
      </c>
      <c r="D125" s="6"/>
      <c r="E125" s="13" t="str">
        <f aca="false">IF(D125="","",IFERROR(INDEX('Reference Tables'!$B$3:$B$8,MATCH(D125,'Reference Tables'!$A$3:$A$8,0)),"Invalid package"))</f>
        <v/>
      </c>
      <c r="F125" s="12" t="str">
        <f aca="false">IF(D125="","",IFERROR(INDEX('Reference Tables'!$C$3:$C$8,MATCH(D125,'Reference Tables'!$A$3:$A$8,0)),"Invalid package"))</f>
        <v/>
      </c>
      <c r="G125" s="14" t="str">
        <f aca="false">IF(E125="","",'Reference Tables'!$C$14)</f>
        <v/>
      </c>
      <c r="H125" s="12" t="str">
        <f aca="false">IF(E125="","",IF(E125&gt;=150,"Yes","No"))</f>
        <v/>
      </c>
      <c r="I125" s="13" t="str">
        <f aca="false">IF(E125="","",IF(H125="Yes",E125*G125,0))</f>
        <v/>
      </c>
      <c r="J125" s="13" t="str">
        <f aca="false">IF(E125="","",E125-I125)</f>
        <v/>
      </c>
      <c r="K125" s="6"/>
      <c r="L125" s="6"/>
    </row>
    <row r="126" customFormat="false" ht="15" hidden="false" customHeight="false" outlineLevel="0" collapsed="false">
      <c r="A126" s="11"/>
      <c r="B126" s="6"/>
      <c r="C126" s="12" t="str">
        <f aca="false">IF(B126="","",IFERROR(INDEX('Silver Registry'!$B$4:$B$103,MATCH(B126,'Silver Registry'!$A$4:$A$103,0)),"Not found"))</f>
        <v/>
      </c>
      <c r="D126" s="6"/>
      <c r="E126" s="13" t="str">
        <f aca="false">IF(D126="","",IFERROR(INDEX('Reference Tables'!$B$3:$B$8,MATCH(D126,'Reference Tables'!$A$3:$A$8,0)),"Invalid package"))</f>
        <v/>
      </c>
      <c r="F126" s="12" t="str">
        <f aca="false">IF(D126="","",IFERROR(INDEX('Reference Tables'!$C$3:$C$8,MATCH(D126,'Reference Tables'!$A$3:$A$8,0)),"Invalid package"))</f>
        <v/>
      </c>
      <c r="G126" s="14" t="str">
        <f aca="false">IF(E126="","",'Reference Tables'!$C$14)</f>
        <v/>
      </c>
      <c r="H126" s="12" t="str">
        <f aca="false">IF(E126="","",IF(E126&gt;=150,"Yes","No"))</f>
        <v/>
      </c>
      <c r="I126" s="13" t="str">
        <f aca="false">IF(E126="","",IF(H126="Yes",E126*G126,0))</f>
        <v/>
      </c>
      <c r="J126" s="13" t="str">
        <f aca="false">IF(E126="","",E126-I126)</f>
        <v/>
      </c>
      <c r="K126" s="6"/>
      <c r="L126" s="6"/>
    </row>
    <row r="127" customFormat="false" ht="15" hidden="false" customHeight="false" outlineLevel="0" collapsed="false">
      <c r="A127" s="11"/>
      <c r="B127" s="6"/>
      <c r="C127" s="12" t="str">
        <f aca="false">IF(B127="","",IFERROR(INDEX('Silver Registry'!$B$4:$B$103,MATCH(B127,'Silver Registry'!$A$4:$A$103,0)),"Not found"))</f>
        <v/>
      </c>
      <c r="D127" s="6"/>
      <c r="E127" s="13" t="str">
        <f aca="false">IF(D127="","",IFERROR(INDEX('Reference Tables'!$B$3:$B$8,MATCH(D127,'Reference Tables'!$A$3:$A$8,0)),"Invalid package"))</f>
        <v/>
      </c>
      <c r="F127" s="12" t="str">
        <f aca="false">IF(D127="","",IFERROR(INDEX('Reference Tables'!$C$3:$C$8,MATCH(D127,'Reference Tables'!$A$3:$A$8,0)),"Invalid package"))</f>
        <v/>
      </c>
      <c r="G127" s="14" t="str">
        <f aca="false">IF(E127="","",'Reference Tables'!$C$14)</f>
        <v/>
      </c>
      <c r="H127" s="12" t="str">
        <f aca="false">IF(E127="","",IF(E127&gt;=150,"Yes","No"))</f>
        <v/>
      </c>
      <c r="I127" s="13" t="str">
        <f aca="false">IF(E127="","",IF(H127="Yes",E127*G127,0))</f>
        <v/>
      </c>
      <c r="J127" s="13" t="str">
        <f aca="false">IF(E127="","",E127-I127)</f>
        <v/>
      </c>
      <c r="K127" s="6"/>
      <c r="L127" s="6"/>
    </row>
    <row r="128" customFormat="false" ht="15" hidden="false" customHeight="false" outlineLevel="0" collapsed="false">
      <c r="A128" s="11"/>
      <c r="B128" s="6"/>
      <c r="C128" s="12" t="str">
        <f aca="false">IF(B128="","",IFERROR(INDEX('Silver Registry'!$B$4:$B$103,MATCH(B128,'Silver Registry'!$A$4:$A$103,0)),"Not found"))</f>
        <v/>
      </c>
      <c r="D128" s="6"/>
      <c r="E128" s="13" t="str">
        <f aca="false">IF(D128="","",IFERROR(INDEX('Reference Tables'!$B$3:$B$8,MATCH(D128,'Reference Tables'!$A$3:$A$8,0)),"Invalid package"))</f>
        <v/>
      </c>
      <c r="F128" s="12" t="str">
        <f aca="false">IF(D128="","",IFERROR(INDEX('Reference Tables'!$C$3:$C$8,MATCH(D128,'Reference Tables'!$A$3:$A$8,0)),"Invalid package"))</f>
        <v/>
      </c>
      <c r="G128" s="14" t="str">
        <f aca="false">IF(E128="","",'Reference Tables'!$C$14)</f>
        <v/>
      </c>
      <c r="H128" s="12" t="str">
        <f aca="false">IF(E128="","",IF(E128&gt;=150,"Yes","No"))</f>
        <v/>
      </c>
      <c r="I128" s="13" t="str">
        <f aca="false">IF(E128="","",IF(H128="Yes",E128*G128,0))</f>
        <v/>
      </c>
      <c r="J128" s="13" t="str">
        <f aca="false">IF(E128="","",E128-I128)</f>
        <v/>
      </c>
      <c r="K128" s="6"/>
      <c r="L128" s="6"/>
    </row>
    <row r="129" customFormat="false" ht="15" hidden="false" customHeight="false" outlineLevel="0" collapsed="false">
      <c r="A129" s="11"/>
      <c r="B129" s="6"/>
      <c r="C129" s="12" t="str">
        <f aca="false">IF(B129="","",IFERROR(INDEX('Silver Registry'!$B$4:$B$103,MATCH(B129,'Silver Registry'!$A$4:$A$103,0)),"Not found"))</f>
        <v/>
      </c>
      <c r="D129" s="6"/>
      <c r="E129" s="13" t="str">
        <f aca="false">IF(D129="","",IFERROR(INDEX('Reference Tables'!$B$3:$B$8,MATCH(D129,'Reference Tables'!$A$3:$A$8,0)),"Invalid package"))</f>
        <v/>
      </c>
      <c r="F129" s="12" t="str">
        <f aca="false">IF(D129="","",IFERROR(INDEX('Reference Tables'!$C$3:$C$8,MATCH(D129,'Reference Tables'!$A$3:$A$8,0)),"Invalid package"))</f>
        <v/>
      </c>
      <c r="G129" s="14" t="str">
        <f aca="false">IF(E129="","",'Reference Tables'!$C$14)</f>
        <v/>
      </c>
      <c r="H129" s="12" t="str">
        <f aca="false">IF(E129="","",IF(E129&gt;=150,"Yes","No"))</f>
        <v/>
      </c>
      <c r="I129" s="13" t="str">
        <f aca="false">IF(E129="","",IF(H129="Yes",E129*G129,0))</f>
        <v/>
      </c>
      <c r="J129" s="13" t="str">
        <f aca="false">IF(E129="","",E129-I129)</f>
        <v/>
      </c>
      <c r="K129" s="6"/>
      <c r="L129" s="6"/>
    </row>
    <row r="130" customFormat="false" ht="15" hidden="false" customHeight="false" outlineLevel="0" collapsed="false">
      <c r="A130" s="11"/>
      <c r="B130" s="6"/>
      <c r="C130" s="12" t="str">
        <f aca="false">IF(B130="","",IFERROR(INDEX('Silver Registry'!$B$4:$B$103,MATCH(B130,'Silver Registry'!$A$4:$A$103,0)),"Not found"))</f>
        <v/>
      </c>
      <c r="D130" s="6"/>
      <c r="E130" s="13" t="str">
        <f aca="false">IF(D130="","",IFERROR(INDEX('Reference Tables'!$B$3:$B$8,MATCH(D130,'Reference Tables'!$A$3:$A$8,0)),"Invalid package"))</f>
        <v/>
      </c>
      <c r="F130" s="12" t="str">
        <f aca="false">IF(D130="","",IFERROR(INDEX('Reference Tables'!$C$3:$C$8,MATCH(D130,'Reference Tables'!$A$3:$A$8,0)),"Invalid package"))</f>
        <v/>
      </c>
      <c r="G130" s="14" t="str">
        <f aca="false">IF(E130="","",'Reference Tables'!$C$14)</f>
        <v/>
      </c>
      <c r="H130" s="12" t="str">
        <f aca="false">IF(E130="","",IF(E130&gt;=150,"Yes","No"))</f>
        <v/>
      </c>
      <c r="I130" s="13" t="str">
        <f aca="false">IF(E130="","",IF(H130="Yes",E130*G130,0))</f>
        <v/>
      </c>
      <c r="J130" s="13" t="str">
        <f aca="false">IF(E130="","",E130-I130)</f>
        <v/>
      </c>
      <c r="K130" s="6"/>
      <c r="L130" s="6"/>
    </row>
    <row r="131" customFormat="false" ht="15" hidden="false" customHeight="false" outlineLevel="0" collapsed="false">
      <c r="A131" s="11"/>
      <c r="B131" s="6"/>
      <c r="C131" s="12" t="str">
        <f aca="false">IF(B131="","",IFERROR(INDEX('Silver Registry'!$B$4:$B$103,MATCH(B131,'Silver Registry'!$A$4:$A$103,0)),"Not found"))</f>
        <v/>
      </c>
      <c r="D131" s="6"/>
      <c r="E131" s="13" t="str">
        <f aca="false">IF(D131="","",IFERROR(INDEX('Reference Tables'!$B$3:$B$8,MATCH(D131,'Reference Tables'!$A$3:$A$8,0)),"Invalid package"))</f>
        <v/>
      </c>
      <c r="F131" s="12" t="str">
        <f aca="false">IF(D131="","",IFERROR(INDEX('Reference Tables'!$C$3:$C$8,MATCH(D131,'Reference Tables'!$A$3:$A$8,0)),"Invalid package"))</f>
        <v/>
      </c>
      <c r="G131" s="14" t="str">
        <f aca="false">IF(E131="","",'Reference Tables'!$C$14)</f>
        <v/>
      </c>
      <c r="H131" s="12" t="str">
        <f aca="false">IF(E131="","",IF(E131&gt;=150,"Yes","No"))</f>
        <v/>
      </c>
      <c r="I131" s="13" t="str">
        <f aca="false">IF(E131="","",IF(H131="Yes",E131*G131,0))</f>
        <v/>
      </c>
      <c r="J131" s="13" t="str">
        <f aca="false">IF(E131="","",E131-I131)</f>
        <v/>
      </c>
      <c r="K131" s="6"/>
      <c r="L131" s="6"/>
    </row>
    <row r="132" customFormat="false" ht="15" hidden="false" customHeight="false" outlineLevel="0" collapsed="false">
      <c r="A132" s="11"/>
      <c r="B132" s="6"/>
      <c r="C132" s="12" t="str">
        <f aca="false">IF(B132="","",IFERROR(INDEX('Silver Registry'!$B$4:$B$103,MATCH(B132,'Silver Registry'!$A$4:$A$103,0)),"Not found"))</f>
        <v/>
      </c>
      <c r="D132" s="6"/>
      <c r="E132" s="13" t="str">
        <f aca="false">IF(D132="","",IFERROR(INDEX('Reference Tables'!$B$3:$B$8,MATCH(D132,'Reference Tables'!$A$3:$A$8,0)),"Invalid package"))</f>
        <v/>
      </c>
      <c r="F132" s="12" t="str">
        <f aca="false">IF(D132="","",IFERROR(INDEX('Reference Tables'!$C$3:$C$8,MATCH(D132,'Reference Tables'!$A$3:$A$8,0)),"Invalid package"))</f>
        <v/>
      </c>
      <c r="G132" s="14" t="str">
        <f aca="false">IF(E132="","",'Reference Tables'!$C$14)</f>
        <v/>
      </c>
      <c r="H132" s="12" t="str">
        <f aca="false">IF(E132="","",IF(E132&gt;=150,"Yes","No"))</f>
        <v/>
      </c>
      <c r="I132" s="13" t="str">
        <f aca="false">IF(E132="","",IF(H132="Yes",E132*G132,0))</f>
        <v/>
      </c>
      <c r="J132" s="13" t="str">
        <f aca="false">IF(E132="","",E132-I132)</f>
        <v/>
      </c>
      <c r="K132" s="6"/>
      <c r="L132" s="6"/>
    </row>
    <row r="133" customFormat="false" ht="15" hidden="false" customHeight="false" outlineLevel="0" collapsed="false">
      <c r="A133" s="11"/>
      <c r="B133" s="6"/>
      <c r="C133" s="12" t="str">
        <f aca="false">IF(B133="","",IFERROR(INDEX('Silver Registry'!$B$4:$B$103,MATCH(B133,'Silver Registry'!$A$4:$A$103,0)),"Not found"))</f>
        <v/>
      </c>
      <c r="D133" s="6"/>
      <c r="E133" s="13" t="str">
        <f aca="false">IF(D133="","",IFERROR(INDEX('Reference Tables'!$B$3:$B$8,MATCH(D133,'Reference Tables'!$A$3:$A$8,0)),"Invalid package"))</f>
        <v/>
      </c>
      <c r="F133" s="12" t="str">
        <f aca="false">IF(D133="","",IFERROR(INDEX('Reference Tables'!$C$3:$C$8,MATCH(D133,'Reference Tables'!$A$3:$A$8,0)),"Invalid package"))</f>
        <v/>
      </c>
      <c r="G133" s="14" t="str">
        <f aca="false">IF(E133="","",'Reference Tables'!$C$14)</f>
        <v/>
      </c>
      <c r="H133" s="12" t="str">
        <f aca="false">IF(E133="","",IF(E133&gt;=150,"Yes","No"))</f>
        <v/>
      </c>
      <c r="I133" s="13" t="str">
        <f aca="false">IF(E133="","",IF(H133="Yes",E133*G133,0))</f>
        <v/>
      </c>
      <c r="J133" s="13" t="str">
        <f aca="false">IF(E133="","",E133-I133)</f>
        <v/>
      </c>
      <c r="K133" s="6"/>
      <c r="L133" s="6"/>
    </row>
    <row r="134" customFormat="false" ht="15" hidden="false" customHeight="false" outlineLevel="0" collapsed="false">
      <c r="A134" s="11"/>
      <c r="B134" s="6"/>
      <c r="C134" s="12" t="str">
        <f aca="false">IF(B134="","",IFERROR(INDEX('Silver Registry'!$B$4:$B$103,MATCH(B134,'Silver Registry'!$A$4:$A$103,0)),"Not found"))</f>
        <v/>
      </c>
      <c r="D134" s="6"/>
      <c r="E134" s="13" t="str">
        <f aca="false">IF(D134="","",IFERROR(INDEX('Reference Tables'!$B$3:$B$8,MATCH(D134,'Reference Tables'!$A$3:$A$8,0)),"Invalid package"))</f>
        <v/>
      </c>
      <c r="F134" s="12" t="str">
        <f aca="false">IF(D134="","",IFERROR(INDEX('Reference Tables'!$C$3:$C$8,MATCH(D134,'Reference Tables'!$A$3:$A$8,0)),"Invalid package"))</f>
        <v/>
      </c>
      <c r="G134" s="14" t="str">
        <f aca="false">IF(E134="","",'Reference Tables'!$C$14)</f>
        <v/>
      </c>
      <c r="H134" s="12" t="str">
        <f aca="false">IF(E134="","",IF(E134&gt;=150,"Yes","No"))</f>
        <v/>
      </c>
      <c r="I134" s="13" t="str">
        <f aca="false">IF(E134="","",IF(H134="Yes",E134*G134,0))</f>
        <v/>
      </c>
      <c r="J134" s="13" t="str">
        <f aca="false">IF(E134="","",E134-I134)</f>
        <v/>
      </c>
      <c r="K134" s="6"/>
      <c r="L134" s="6"/>
    </row>
    <row r="135" customFormat="false" ht="15" hidden="false" customHeight="false" outlineLevel="0" collapsed="false">
      <c r="A135" s="11"/>
      <c r="B135" s="6"/>
      <c r="C135" s="12" t="str">
        <f aca="false">IF(B135="","",IFERROR(INDEX('Silver Registry'!$B$4:$B$103,MATCH(B135,'Silver Registry'!$A$4:$A$103,0)),"Not found"))</f>
        <v/>
      </c>
      <c r="D135" s="6"/>
      <c r="E135" s="13" t="str">
        <f aca="false">IF(D135="","",IFERROR(INDEX('Reference Tables'!$B$3:$B$8,MATCH(D135,'Reference Tables'!$A$3:$A$8,0)),"Invalid package"))</f>
        <v/>
      </c>
      <c r="F135" s="12" t="str">
        <f aca="false">IF(D135="","",IFERROR(INDEX('Reference Tables'!$C$3:$C$8,MATCH(D135,'Reference Tables'!$A$3:$A$8,0)),"Invalid package"))</f>
        <v/>
      </c>
      <c r="G135" s="14" t="str">
        <f aca="false">IF(E135="","",'Reference Tables'!$C$14)</f>
        <v/>
      </c>
      <c r="H135" s="12" t="str">
        <f aca="false">IF(E135="","",IF(E135&gt;=150,"Yes","No"))</f>
        <v/>
      </c>
      <c r="I135" s="13" t="str">
        <f aca="false">IF(E135="","",IF(H135="Yes",E135*G135,0))</f>
        <v/>
      </c>
      <c r="J135" s="13" t="str">
        <f aca="false">IF(E135="","",E135-I135)</f>
        <v/>
      </c>
      <c r="K135" s="6"/>
      <c r="L135" s="6"/>
    </row>
    <row r="136" customFormat="false" ht="15" hidden="false" customHeight="false" outlineLevel="0" collapsed="false">
      <c r="A136" s="11"/>
      <c r="B136" s="6"/>
      <c r="C136" s="12" t="str">
        <f aca="false">IF(B136="","",IFERROR(INDEX('Silver Registry'!$B$4:$B$103,MATCH(B136,'Silver Registry'!$A$4:$A$103,0)),"Not found"))</f>
        <v/>
      </c>
      <c r="D136" s="6"/>
      <c r="E136" s="13" t="str">
        <f aca="false">IF(D136="","",IFERROR(INDEX('Reference Tables'!$B$3:$B$8,MATCH(D136,'Reference Tables'!$A$3:$A$8,0)),"Invalid package"))</f>
        <v/>
      </c>
      <c r="F136" s="12" t="str">
        <f aca="false">IF(D136="","",IFERROR(INDEX('Reference Tables'!$C$3:$C$8,MATCH(D136,'Reference Tables'!$A$3:$A$8,0)),"Invalid package"))</f>
        <v/>
      </c>
      <c r="G136" s="14" t="str">
        <f aca="false">IF(E136="","",'Reference Tables'!$C$14)</f>
        <v/>
      </c>
      <c r="H136" s="12" t="str">
        <f aca="false">IF(E136="","",IF(E136&gt;=150,"Yes","No"))</f>
        <v/>
      </c>
      <c r="I136" s="13" t="str">
        <f aca="false">IF(E136="","",IF(H136="Yes",E136*G136,0))</f>
        <v/>
      </c>
      <c r="J136" s="13" t="str">
        <f aca="false">IF(E136="","",E136-I136)</f>
        <v/>
      </c>
      <c r="K136" s="6"/>
      <c r="L136" s="6"/>
    </row>
    <row r="137" customFormat="false" ht="15" hidden="false" customHeight="false" outlineLevel="0" collapsed="false">
      <c r="A137" s="11"/>
      <c r="B137" s="6"/>
      <c r="C137" s="12" t="str">
        <f aca="false">IF(B137="","",IFERROR(INDEX('Silver Registry'!$B$4:$B$103,MATCH(B137,'Silver Registry'!$A$4:$A$103,0)),"Not found"))</f>
        <v/>
      </c>
      <c r="D137" s="6"/>
      <c r="E137" s="13" t="str">
        <f aca="false">IF(D137="","",IFERROR(INDEX('Reference Tables'!$B$3:$B$8,MATCH(D137,'Reference Tables'!$A$3:$A$8,0)),"Invalid package"))</f>
        <v/>
      </c>
      <c r="F137" s="12" t="str">
        <f aca="false">IF(D137="","",IFERROR(INDEX('Reference Tables'!$C$3:$C$8,MATCH(D137,'Reference Tables'!$A$3:$A$8,0)),"Invalid package"))</f>
        <v/>
      </c>
      <c r="G137" s="14" t="str">
        <f aca="false">IF(E137="","",'Reference Tables'!$C$14)</f>
        <v/>
      </c>
      <c r="H137" s="12" t="str">
        <f aca="false">IF(E137="","",IF(E137&gt;=150,"Yes","No"))</f>
        <v/>
      </c>
      <c r="I137" s="13" t="str">
        <f aca="false">IF(E137="","",IF(H137="Yes",E137*G137,0))</f>
        <v/>
      </c>
      <c r="J137" s="13" t="str">
        <f aca="false">IF(E137="","",E137-I137)</f>
        <v/>
      </c>
      <c r="K137" s="6"/>
      <c r="L137" s="6"/>
    </row>
    <row r="138" customFormat="false" ht="15" hidden="false" customHeight="false" outlineLevel="0" collapsed="false">
      <c r="A138" s="11"/>
      <c r="B138" s="6"/>
      <c r="C138" s="12" t="str">
        <f aca="false">IF(B138="","",IFERROR(INDEX('Silver Registry'!$B$4:$B$103,MATCH(B138,'Silver Registry'!$A$4:$A$103,0)),"Not found"))</f>
        <v/>
      </c>
      <c r="D138" s="6"/>
      <c r="E138" s="13" t="str">
        <f aca="false">IF(D138="","",IFERROR(INDEX('Reference Tables'!$B$3:$B$8,MATCH(D138,'Reference Tables'!$A$3:$A$8,0)),"Invalid package"))</f>
        <v/>
      </c>
      <c r="F138" s="12" t="str">
        <f aca="false">IF(D138="","",IFERROR(INDEX('Reference Tables'!$C$3:$C$8,MATCH(D138,'Reference Tables'!$A$3:$A$8,0)),"Invalid package"))</f>
        <v/>
      </c>
      <c r="G138" s="14" t="str">
        <f aca="false">IF(E138="","",'Reference Tables'!$C$14)</f>
        <v/>
      </c>
      <c r="H138" s="12" t="str">
        <f aca="false">IF(E138="","",IF(E138&gt;=150,"Yes","No"))</f>
        <v/>
      </c>
      <c r="I138" s="13" t="str">
        <f aca="false">IF(E138="","",IF(H138="Yes",E138*G138,0))</f>
        <v/>
      </c>
      <c r="J138" s="13" t="str">
        <f aca="false">IF(E138="","",E138-I138)</f>
        <v/>
      </c>
      <c r="K138" s="6"/>
      <c r="L138" s="6"/>
    </row>
    <row r="139" customFormat="false" ht="15" hidden="false" customHeight="false" outlineLevel="0" collapsed="false">
      <c r="A139" s="11"/>
      <c r="B139" s="6"/>
      <c r="C139" s="12" t="str">
        <f aca="false">IF(B139="","",IFERROR(INDEX('Silver Registry'!$B$4:$B$103,MATCH(B139,'Silver Registry'!$A$4:$A$103,0)),"Not found"))</f>
        <v/>
      </c>
      <c r="D139" s="6"/>
      <c r="E139" s="13" t="str">
        <f aca="false">IF(D139="","",IFERROR(INDEX('Reference Tables'!$B$3:$B$8,MATCH(D139,'Reference Tables'!$A$3:$A$8,0)),"Invalid package"))</f>
        <v/>
      </c>
      <c r="F139" s="12" t="str">
        <f aca="false">IF(D139="","",IFERROR(INDEX('Reference Tables'!$C$3:$C$8,MATCH(D139,'Reference Tables'!$A$3:$A$8,0)),"Invalid package"))</f>
        <v/>
      </c>
      <c r="G139" s="14" t="str">
        <f aca="false">IF(E139="","",'Reference Tables'!$C$14)</f>
        <v/>
      </c>
      <c r="H139" s="12" t="str">
        <f aca="false">IF(E139="","",IF(E139&gt;=150,"Yes","No"))</f>
        <v/>
      </c>
      <c r="I139" s="13" t="str">
        <f aca="false">IF(E139="","",IF(H139="Yes",E139*G139,0))</f>
        <v/>
      </c>
      <c r="J139" s="13" t="str">
        <f aca="false">IF(E139="","",E139-I139)</f>
        <v/>
      </c>
      <c r="K139" s="6"/>
      <c r="L139" s="6"/>
    </row>
    <row r="140" customFormat="false" ht="15" hidden="false" customHeight="false" outlineLevel="0" collapsed="false">
      <c r="A140" s="11"/>
      <c r="B140" s="6"/>
      <c r="C140" s="12" t="str">
        <f aca="false">IF(B140="","",IFERROR(INDEX('Silver Registry'!$B$4:$B$103,MATCH(B140,'Silver Registry'!$A$4:$A$103,0)),"Not found"))</f>
        <v/>
      </c>
      <c r="D140" s="6"/>
      <c r="E140" s="13" t="str">
        <f aca="false">IF(D140="","",IFERROR(INDEX('Reference Tables'!$B$3:$B$8,MATCH(D140,'Reference Tables'!$A$3:$A$8,0)),"Invalid package"))</f>
        <v/>
      </c>
      <c r="F140" s="12" t="str">
        <f aca="false">IF(D140="","",IFERROR(INDEX('Reference Tables'!$C$3:$C$8,MATCH(D140,'Reference Tables'!$A$3:$A$8,0)),"Invalid package"))</f>
        <v/>
      </c>
      <c r="G140" s="14" t="str">
        <f aca="false">IF(E140="","",'Reference Tables'!$C$14)</f>
        <v/>
      </c>
      <c r="H140" s="12" t="str">
        <f aca="false">IF(E140="","",IF(E140&gt;=150,"Yes","No"))</f>
        <v/>
      </c>
      <c r="I140" s="13" t="str">
        <f aca="false">IF(E140="","",IF(H140="Yes",E140*G140,0))</f>
        <v/>
      </c>
      <c r="J140" s="13" t="str">
        <f aca="false">IF(E140="","",E140-I140)</f>
        <v/>
      </c>
      <c r="K140" s="6"/>
      <c r="L140" s="6"/>
    </row>
    <row r="141" customFormat="false" ht="15" hidden="false" customHeight="false" outlineLevel="0" collapsed="false">
      <c r="A141" s="11"/>
      <c r="B141" s="6"/>
      <c r="C141" s="12" t="str">
        <f aca="false">IF(B141="","",IFERROR(INDEX('Silver Registry'!$B$4:$B$103,MATCH(B141,'Silver Registry'!$A$4:$A$103,0)),"Not found"))</f>
        <v/>
      </c>
      <c r="D141" s="6"/>
      <c r="E141" s="13" t="str">
        <f aca="false">IF(D141="","",IFERROR(INDEX('Reference Tables'!$B$3:$B$8,MATCH(D141,'Reference Tables'!$A$3:$A$8,0)),"Invalid package"))</f>
        <v/>
      </c>
      <c r="F141" s="12" t="str">
        <f aca="false">IF(D141="","",IFERROR(INDEX('Reference Tables'!$C$3:$C$8,MATCH(D141,'Reference Tables'!$A$3:$A$8,0)),"Invalid package"))</f>
        <v/>
      </c>
      <c r="G141" s="14" t="str">
        <f aca="false">IF(E141="","",'Reference Tables'!$C$14)</f>
        <v/>
      </c>
      <c r="H141" s="12" t="str">
        <f aca="false">IF(E141="","",IF(E141&gt;=150,"Yes","No"))</f>
        <v/>
      </c>
      <c r="I141" s="13" t="str">
        <f aca="false">IF(E141="","",IF(H141="Yes",E141*G141,0))</f>
        <v/>
      </c>
      <c r="J141" s="13" t="str">
        <f aca="false">IF(E141="","",E141-I141)</f>
        <v/>
      </c>
      <c r="K141" s="6"/>
      <c r="L141" s="6"/>
    </row>
    <row r="142" customFormat="false" ht="15" hidden="false" customHeight="false" outlineLevel="0" collapsed="false">
      <c r="A142" s="11"/>
      <c r="B142" s="6"/>
      <c r="C142" s="12" t="str">
        <f aca="false">IF(B142="","",IFERROR(INDEX('Silver Registry'!$B$4:$B$103,MATCH(B142,'Silver Registry'!$A$4:$A$103,0)),"Not found"))</f>
        <v/>
      </c>
      <c r="D142" s="6"/>
      <c r="E142" s="13" t="str">
        <f aca="false">IF(D142="","",IFERROR(INDEX('Reference Tables'!$B$3:$B$8,MATCH(D142,'Reference Tables'!$A$3:$A$8,0)),"Invalid package"))</f>
        <v/>
      </c>
      <c r="F142" s="12" t="str">
        <f aca="false">IF(D142="","",IFERROR(INDEX('Reference Tables'!$C$3:$C$8,MATCH(D142,'Reference Tables'!$A$3:$A$8,0)),"Invalid package"))</f>
        <v/>
      </c>
      <c r="G142" s="14" t="str">
        <f aca="false">IF(E142="","",'Reference Tables'!$C$14)</f>
        <v/>
      </c>
      <c r="H142" s="12" t="str">
        <f aca="false">IF(E142="","",IF(E142&gt;=150,"Yes","No"))</f>
        <v/>
      </c>
      <c r="I142" s="13" t="str">
        <f aca="false">IF(E142="","",IF(H142="Yes",E142*G142,0))</f>
        <v/>
      </c>
      <c r="J142" s="13" t="str">
        <f aca="false">IF(E142="","",E142-I142)</f>
        <v/>
      </c>
      <c r="K142" s="6"/>
      <c r="L142" s="6"/>
    </row>
    <row r="143" customFormat="false" ht="15" hidden="false" customHeight="false" outlineLevel="0" collapsed="false">
      <c r="A143" s="11"/>
      <c r="B143" s="6"/>
      <c r="C143" s="12" t="str">
        <f aca="false">IF(B143="","",IFERROR(INDEX('Silver Registry'!$B$4:$B$103,MATCH(B143,'Silver Registry'!$A$4:$A$103,0)),"Not found"))</f>
        <v/>
      </c>
      <c r="D143" s="6"/>
      <c r="E143" s="13" t="str">
        <f aca="false">IF(D143="","",IFERROR(INDEX('Reference Tables'!$B$3:$B$8,MATCH(D143,'Reference Tables'!$A$3:$A$8,0)),"Invalid package"))</f>
        <v/>
      </c>
      <c r="F143" s="12" t="str">
        <f aca="false">IF(D143="","",IFERROR(INDEX('Reference Tables'!$C$3:$C$8,MATCH(D143,'Reference Tables'!$A$3:$A$8,0)),"Invalid package"))</f>
        <v/>
      </c>
      <c r="G143" s="14" t="str">
        <f aca="false">IF(E143="","",'Reference Tables'!$C$14)</f>
        <v/>
      </c>
      <c r="H143" s="12" t="str">
        <f aca="false">IF(E143="","",IF(E143&gt;=150,"Yes","No"))</f>
        <v/>
      </c>
      <c r="I143" s="13" t="str">
        <f aca="false">IF(E143="","",IF(H143="Yes",E143*G143,0))</f>
        <v/>
      </c>
      <c r="J143" s="13" t="str">
        <f aca="false">IF(E143="","",E143-I143)</f>
        <v/>
      </c>
      <c r="K143" s="6"/>
      <c r="L143" s="6"/>
    </row>
    <row r="144" customFormat="false" ht="15" hidden="false" customHeight="false" outlineLevel="0" collapsed="false">
      <c r="A144" s="11"/>
      <c r="B144" s="6"/>
      <c r="C144" s="12" t="str">
        <f aca="false">IF(B144="","",IFERROR(INDEX('Silver Registry'!$B$4:$B$103,MATCH(B144,'Silver Registry'!$A$4:$A$103,0)),"Not found"))</f>
        <v/>
      </c>
      <c r="D144" s="6"/>
      <c r="E144" s="13" t="str">
        <f aca="false">IF(D144="","",IFERROR(INDEX('Reference Tables'!$B$3:$B$8,MATCH(D144,'Reference Tables'!$A$3:$A$8,0)),"Invalid package"))</f>
        <v/>
      </c>
      <c r="F144" s="12" t="str">
        <f aca="false">IF(D144="","",IFERROR(INDEX('Reference Tables'!$C$3:$C$8,MATCH(D144,'Reference Tables'!$A$3:$A$8,0)),"Invalid package"))</f>
        <v/>
      </c>
      <c r="G144" s="14" t="str">
        <f aca="false">IF(E144="","",'Reference Tables'!$C$14)</f>
        <v/>
      </c>
      <c r="H144" s="12" t="str">
        <f aca="false">IF(E144="","",IF(E144&gt;=150,"Yes","No"))</f>
        <v/>
      </c>
      <c r="I144" s="13" t="str">
        <f aca="false">IF(E144="","",IF(H144="Yes",E144*G144,0))</f>
        <v/>
      </c>
      <c r="J144" s="13" t="str">
        <f aca="false">IF(E144="","",E144-I144)</f>
        <v/>
      </c>
      <c r="K144" s="6"/>
      <c r="L144" s="6"/>
    </row>
    <row r="145" customFormat="false" ht="15" hidden="false" customHeight="false" outlineLevel="0" collapsed="false">
      <c r="A145" s="11"/>
      <c r="B145" s="6"/>
      <c r="C145" s="12" t="str">
        <f aca="false">IF(B145="","",IFERROR(INDEX('Silver Registry'!$B$4:$B$103,MATCH(B145,'Silver Registry'!$A$4:$A$103,0)),"Not found"))</f>
        <v/>
      </c>
      <c r="D145" s="6"/>
      <c r="E145" s="13" t="str">
        <f aca="false">IF(D145="","",IFERROR(INDEX('Reference Tables'!$B$3:$B$8,MATCH(D145,'Reference Tables'!$A$3:$A$8,0)),"Invalid package"))</f>
        <v/>
      </c>
      <c r="F145" s="12" t="str">
        <f aca="false">IF(D145="","",IFERROR(INDEX('Reference Tables'!$C$3:$C$8,MATCH(D145,'Reference Tables'!$A$3:$A$8,0)),"Invalid package"))</f>
        <v/>
      </c>
      <c r="G145" s="14" t="str">
        <f aca="false">IF(E145="","",'Reference Tables'!$C$14)</f>
        <v/>
      </c>
      <c r="H145" s="12" t="str">
        <f aca="false">IF(E145="","",IF(E145&gt;=150,"Yes","No"))</f>
        <v/>
      </c>
      <c r="I145" s="13" t="str">
        <f aca="false">IF(E145="","",IF(H145="Yes",E145*G145,0))</f>
        <v/>
      </c>
      <c r="J145" s="13" t="str">
        <f aca="false">IF(E145="","",E145-I145)</f>
        <v/>
      </c>
      <c r="K145" s="6"/>
      <c r="L145" s="6"/>
    </row>
    <row r="146" customFormat="false" ht="15" hidden="false" customHeight="false" outlineLevel="0" collapsed="false">
      <c r="A146" s="11"/>
      <c r="B146" s="6"/>
      <c r="C146" s="12" t="str">
        <f aca="false">IF(B146="","",IFERROR(INDEX('Silver Registry'!$B$4:$B$103,MATCH(B146,'Silver Registry'!$A$4:$A$103,0)),"Not found"))</f>
        <v/>
      </c>
      <c r="D146" s="6"/>
      <c r="E146" s="13" t="str">
        <f aca="false">IF(D146="","",IFERROR(INDEX('Reference Tables'!$B$3:$B$8,MATCH(D146,'Reference Tables'!$A$3:$A$8,0)),"Invalid package"))</f>
        <v/>
      </c>
      <c r="F146" s="12" t="str">
        <f aca="false">IF(D146="","",IFERROR(INDEX('Reference Tables'!$C$3:$C$8,MATCH(D146,'Reference Tables'!$A$3:$A$8,0)),"Invalid package"))</f>
        <v/>
      </c>
      <c r="G146" s="14" t="str">
        <f aca="false">IF(E146="","",'Reference Tables'!$C$14)</f>
        <v/>
      </c>
      <c r="H146" s="12" t="str">
        <f aca="false">IF(E146="","",IF(E146&gt;=150,"Yes","No"))</f>
        <v/>
      </c>
      <c r="I146" s="13" t="str">
        <f aca="false">IF(E146="","",IF(H146="Yes",E146*G146,0))</f>
        <v/>
      </c>
      <c r="J146" s="13" t="str">
        <f aca="false">IF(E146="","",E146-I146)</f>
        <v/>
      </c>
      <c r="K146" s="6"/>
      <c r="L146" s="6"/>
    </row>
    <row r="147" customFormat="false" ht="15" hidden="false" customHeight="false" outlineLevel="0" collapsed="false">
      <c r="A147" s="11"/>
      <c r="B147" s="6"/>
      <c r="C147" s="12" t="str">
        <f aca="false">IF(B147="","",IFERROR(INDEX('Silver Registry'!$B$4:$B$103,MATCH(B147,'Silver Registry'!$A$4:$A$103,0)),"Not found"))</f>
        <v/>
      </c>
      <c r="D147" s="6"/>
      <c r="E147" s="13" t="str">
        <f aca="false">IF(D147="","",IFERROR(INDEX('Reference Tables'!$B$3:$B$8,MATCH(D147,'Reference Tables'!$A$3:$A$8,0)),"Invalid package"))</f>
        <v/>
      </c>
      <c r="F147" s="12" t="str">
        <f aca="false">IF(D147="","",IFERROR(INDEX('Reference Tables'!$C$3:$C$8,MATCH(D147,'Reference Tables'!$A$3:$A$8,0)),"Invalid package"))</f>
        <v/>
      </c>
      <c r="G147" s="14" t="str">
        <f aca="false">IF(E147="","",'Reference Tables'!$C$14)</f>
        <v/>
      </c>
      <c r="H147" s="12" t="str">
        <f aca="false">IF(E147="","",IF(E147&gt;=150,"Yes","No"))</f>
        <v/>
      </c>
      <c r="I147" s="13" t="str">
        <f aca="false">IF(E147="","",IF(H147="Yes",E147*G147,0))</f>
        <v/>
      </c>
      <c r="J147" s="13" t="str">
        <f aca="false">IF(E147="","",E147-I147)</f>
        <v/>
      </c>
      <c r="K147" s="6"/>
      <c r="L147" s="6"/>
    </row>
    <row r="148" customFormat="false" ht="15" hidden="false" customHeight="false" outlineLevel="0" collapsed="false">
      <c r="A148" s="11"/>
      <c r="B148" s="6"/>
      <c r="C148" s="12" t="str">
        <f aca="false">IF(B148="","",IFERROR(INDEX('Silver Registry'!$B$4:$B$103,MATCH(B148,'Silver Registry'!$A$4:$A$103,0)),"Not found"))</f>
        <v/>
      </c>
      <c r="D148" s="6"/>
      <c r="E148" s="13" t="str">
        <f aca="false">IF(D148="","",IFERROR(INDEX('Reference Tables'!$B$3:$B$8,MATCH(D148,'Reference Tables'!$A$3:$A$8,0)),"Invalid package"))</f>
        <v/>
      </c>
      <c r="F148" s="12" t="str">
        <f aca="false">IF(D148="","",IFERROR(INDEX('Reference Tables'!$C$3:$C$8,MATCH(D148,'Reference Tables'!$A$3:$A$8,0)),"Invalid package"))</f>
        <v/>
      </c>
      <c r="G148" s="14" t="str">
        <f aca="false">IF(E148="","",'Reference Tables'!$C$14)</f>
        <v/>
      </c>
      <c r="H148" s="12" t="str">
        <f aca="false">IF(E148="","",IF(E148&gt;=150,"Yes","No"))</f>
        <v/>
      </c>
      <c r="I148" s="13" t="str">
        <f aca="false">IF(E148="","",IF(H148="Yes",E148*G148,0))</f>
        <v/>
      </c>
      <c r="J148" s="13" t="str">
        <f aca="false">IF(E148="","",E148-I148)</f>
        <v/>
      </c>
      <c r="K148" s="6"/>
      <c r="L148" s="6"/>
    </row>
    <row r="149" customFormat="false" ht="15" hidden="false" customHeight="false" outlineLevel="0" collapsed="false">
      <c r="A149" s="11"/>
      <c r="B149" s="6"/>
      <c r="C149" s="12" t="str">
        <f aca="false">IF(B149="","",IFERROR(INDEX('Silver Registry'!$B$4:$B$103,MATCH(B149,'Silver Registry'!$A$4:$A$103,0)),"Not found"))</f>
        <v/>
      </c>
      <c r="D149" s="6"/>
      <c r="E149" s="13" t="str">
        <f aca="false">IF(D149="","",IFERROR(INDEX('Reference Tables'!$B$3:$B$8,MATCH(D149,'Reference Tables'!$A$3:$A$8,0)),"Invalid package"))</f>
        <v/>
      </c>
      <c r="F149" s="12" t="str">
        <f aca="false">IF(D149="","",IFERROR(INDEX('Reference Tables'!$C$3:$C$8,MATCH(D149,'Reference Tables'!$A$3:$A$8,0)),"Invalid package"))</f>
        <v/>
      </c>
      <c r="G149" s="14" t="str">
        <f aca="false">IF(E149="","",'Reference Tables'!$C$14)</f>
        <v/>
      </c>
      <c r="H149" s="12" t="str">
        <f aca="false">IF(E149="","",IF(E149&gt;=150,"Yes","No"))</f>
        <v/>
      </c>
      <c r="I149" s="13" t="str">
        <f aca="false">IF(E149="","",IF(H149="Yes",E149*G149,0))</f>
        <v/>
      </c>
      <c r="J149" s="13" t="str">
        <f aca="false">IF(E149="","",E149-I149)</f>
        <v/>
      </c>
      <c r="K149" s="6"/>
      <c r="L149" s="6"/>
    </row>
    <row r="150" customFormat="false" ht="15" hidden="false" customHeight="false" outlineLevel="0" collapsed="false">
      <c r="A150" s="11"/>
      <c r="B150" s="6"/>
      <c r="C150" s="12" t="str">
        <f aca="false">IF(B150="","",IFERROR(INDEX('Silver Registry'!$B$4:$B$103,MATCH(B150,'Silver Registry'!$A$4:$A$103,0)),"Not found"))</f>
        <v/>
      </c>
      <c r="D150" s="6"/>
      <c r="E150" s="13" t="str">
        <f aca="false">IF(D150="","",IFERROR(INDEX('Reference Tables'!$B$3:$B$8,MATCH(D150,'Reference Tables'!$A$3:$A$8,0)),"Invalid package"))</f>
        <v/>
      </c>
      <c r="F150" s="12" t="str">
        <f aca="false">IF(D150="","",IFERROR(INDEX('Reference Tables'!$C$3:$C$8,MATCH(D150,'Reference Tables'!$A$3:$A$8,0)),"Invalid package"))</f>
        <v/>
      </c>
      <c r="G150" s="14" t="str">
        <f aca="false">IF(E150="","",'Reference Tables'!$C$14)</f>
        <v/>
      </c>
      <c r="H150" s="12" t="str">
        <f aca="false">IF(E150="","",IF(E150&gt;=150,"Yes","No"))</f>
        <v/>
      </c>
      <c r="I150" s="13" t="str">
        <f aca="false">IF(E150="","",IF(H150="Yes",E150*G150,0))</f>
        <v/>
      </c>
      <c r="J150" s="13" t="str">
        <f aca="false">IF(E150="","",E150-I150)</f>
        <v/>
      </c>
      <c r="K150" s="6"/>
      <c r="L150" s="6"/>
    </row>
    <row r="151" customFormat="false" ht="15" hidden="false" customHeight="false" outlineLevel="0" collapsed="false">
      <c r="A151" s="11"/>
      <c r="B151" s="6"/>
      <c r="C151" s="12" t="str">
        <f aca="false">IF(B151="","",IFERROR(INDEX('Silver Registry'!$B$4:$B$103,MATCH(B151,'Silver Registry'!$A$4:$A$103,0)),"Not found"))</f>
        <v/>
      </c>
      <c r="D151" s="6"/>
      <c r="E151" s="13" t="str">
        <f aca="false">IF(D151="","",IFERROR(INDEX('Reference Tables'!$B$3:$B$8,MATCH(D151,'Reference Tables'!$A$3:$A$8,0)),"Invalid package"))</f>
        <v/>
      </c>
      <c r="F151" s="12" t="str">
        <f aca="false">IF(D151="","",IFERROR(INDEX('Reference Tables'!$C$3:$C$8,MATCH(D151,'Reference Tables'!$A$3:$A$8,0)),"Invalid package"))</f>
        <v/>
      </c>
      <c r="G151" s="14" t="str">
        <f aca="false">IF(E151="","",'Reference Tables'!$C$14)</f>
        <v/>
      </c>
      <c r="H151" s="12" t="str">
        <f aca="false">IF(E151="","",IF(E151&gt;=150,"Yes","No"))</f>
        <v/>
      </c>
      <c r="I151" s="13" t="str">
        <f aca="false">IF(E151="","",IF(H151="Yes",E151*G151,0))</f>
        <v/>
      </c>
      <c r="J151" s="13" t="str">
        <f aca="false">IF(E151="","",E151-I151)</f>
        <v/>
      </c>
      <c r="K151" s="6"/>
      <c r="L151" s="6"/>
    </row>
    <row r="152" customFormat="false" ht="15" hidden="false" customHeight="false" outlineLevel="0" collapsed="false">
      <c r="A152" s="11"/>
      <c r="B152" s="6"/>
      <c r="C152" s="12" t="str">
        <f aca="false">IF(B152="","",IFERROR(INDEX('Silver Registry'!$B$4:$B$103,MATCH(B152,'Silver Registry'!$A$4:$A$103,0)),"Not found"))</f>
        <v/>
      </c>
      <c r="D152" s="6"/>
      <c r="E152" s="13" t="str">
        <f aca="false">IF(D152="","",IFERROR(INDEX('Reference Tables'!$B$3:$B$8,MATCH(D152,'Reference Tables'!$A$3:$A$8,0)),"Invalid package"))</f>
        <v/>
      </c>
      <c r="F152" s="12" t="str">
        <f aca="false">IF(D152="","",IFERROR(INDEX('Reference Tables'!$C$3:$C$8,MATCH(D152,'Reference Tables'!$A$3:$A$8,0)),"Invalid package"))</f>
        <v/>
      </c>
      <c r="G152" s="14" t="str">
        <f aca="false">IF(E152="","",'Reference Tables'!$C$14)</f>
        <v/>
      </c>
      <c r="H152" s="12" t="str">
        <f aca="false">IF(E152="","",IF(E152&gt;=150,"Yes","No"))</f>
        <v/>
      </c>
      <c r="I152" s="13" t="str">
        <f aca="false">IF(E152="","",IF(H152="Yes",E152*G152,0))</f>
        <v/>
      </c>
      <c r="J152" s="13" t="str">
        <f aca="false">IF(E152="","",E152-I152)</f>
        <v/>
      </c>
      <c r="K152" s="6"/>
      <c r="L152" s="6"/>
    </row>
    <row r="153" customFormat="false" ht="15" hidden="false" customHeight="false" outlineLevel="0" collapsed="false">
      <c r="A153" s="11"/>
      <c r="B153" s="6"/>
      <c r="C153" s="12" t="str">
        <f aca="false">IF(B153="","",IFERROR(INDEX('Silver Registry'!$B$4:$B$103,MATCH(B153,'Silver Registry'!$A$4:$A$103,0)),"Not found"))</f>
        <v/>
      </c>
      <c r="D153" s="6"/>
      <c r="E153" s="13" t="str">
        <f aca="false">IF(D153="","",IFERROR(INDEX('Reference Tables'!$B$3:$B$8,MATCH(D153,'Reference Tables'!$A$3:$A$8,0)),"Invalid package"))</f>
        <v/>
      </c>
      <c r="F153" s="12" t="str">
        <f aca="false">IF(D153="","",IFERROR(INDEX('Reference Tables'!$C$3:$C$8,MATCH(D153,'Reference Tables'!$A$3:$A$8,0)),"Invalid package"))</f>
        <v/>
      </c>
      <c r="G153" s="14" t="str">
        <f aca="false">IF(E153="","",'Reference Tables'!$C$14)</f>
        <v/>
      </c>
      <c r="H153" s="12" t="str">
        <f aca="false">IF(E153="","",IF(E153&gt;=150,"Yes","No"))</f>
        <v/>
      </c>
      <c r="I153" s="13" t="str">
        <f aca="false">IF(E153="","",IF(H153="Yes",E153*G153,0))</f>
        <v/>
      </c>
      <c r="J153" s="13" t="str">
        <f aca="false">IF(E153="","",E153-I153)</f>
        <v/>
      </c>
      <c r="K153" s="6"/>
      <c r="L153" s="6"/>
    </row>
    <row r="154" customFormat="false" ht="15" hidden="false" customHeight="false" outlineLevel="0" collapsed="false">
      <c r="A154" s="11"/>
      <c r="B154" s="6"/>
      <c r="C154" s="12" t="str">
        <f aca="false">IF(B154="","",IFERROR(INDEX('Silver Registry'!$B$4:$B$103,MATCH(B154,'Silver Registry'!$A$4:$A$103,0)),"Not found"))</f>
        <v/>
      </c>
      <c r="D154" s="6"/>
      <c r="E154" s="13" t="str">
        <f aca="false">IF(D154="","",IFERROR(INDEX('Reference Tables'!$B$3:$B$8,MATCH(D154,'Reference Tables'!$A$3:$A$8,0)),"Invalid package"))</f>
        <v/>
      </c>
      <c r="F154" s="12" t="str">
        <f aca="false">IF(D154="","",IFERROR(INDEX('Reference Tables'!$C$3:$C$8,MATCH(D154,'Reference Tables'!$A$3:$A$8,0)),"Invalid package"))</f>
        <v/>
      </c>
      <c r="G154" s="14" t="str">
        <f aca="false">IF(E154="","",'Reference Tables'!$C$14)</f>
        <v/>
      </c>
      <c r="H154" s="12" t="str">
        <f aca="false">IF(E154="","",IF(E154&gt;=150,"Yes","No"))</f>
        <v/>
      </c>
      <c r="I154" s="13" t="str">
        <f aca="false">IF(E154="","",IF(H154="Yes",E154*G154,0))</f>
        <v/>
      </c>
      <c r="J154" s="13" t="str">
        <f aca="false">IF(E154="","",E154-I154)</f>
        <v/>
      </c>
      <c r="K154" s="6"/>
      <c r="L154" s="6"/>
    </row>
    <row r="155" customFormat="false" ht="15" hidden="false" customHeight="false" outlineLevel="0" collapsed="false">
      <c r="A155" s="11"/>
      <c r="B155" s="6"/>
      <c r="C155" s="12" t="str">
        <f aca="false">IF(B155="","",IFERROR(INDEX('Silver Registry'!$B$4:$B$103,MATCH(B155,'Silver Registry'!$A$4:$A$103,0)),"Not found"))</f>
        <v/>
      </c>
      <c r="D155" s="6"/>
      <c r="E155" s="13" t="str">
        <f aca="false">IF(D155="","",IFERROR(INDEX('Reference Tables'!$B$3:$B$8,MATCH(D155,'Reference Tables'!$A$3:$A$8,0)),"Invalid package"))</f>
        <v/>
      </c>
      <c r="F155" s="12" t="str">
        <f aca="false">IF(D155="","",IFERROR(INDEX('Reference Tables'!$C$3:$C$8,MATCH(D155,'Reference Tables'!$A$3:$A$8,0)),"Invalid package"))</f>
        <v/>
      </c>
      <c r="G155" s="14" t="str">
        <f aca="false">IF(E155="","",'Reference Tables'!$C$14)</f>
        <v/>
      </c>
      <c r="H155" s="12" t="str">
        <f aca="false">IF(E155="","",IF(E155&gt;=150,"Yes","No"))</f>
        <v/>
      </c>
      <c r="I155" s="13" t="str">
        <f aca="false">IF(E155="","",IF(H155="Yes",E155*G155,0))</f>
        <v/>
      </c>
      <c r="J155" s="13" t="str">
        <f aca="false">IF(E155="","",E155-I155)</f>
        <v/>
      </c>
      <c r="K155" s="6"/>
      <c r="L155" s="6"/>
    </row>
    <row r="156" customFormat="false" ht="15" hidden="false" customHeight="false" outlineLevel="0" collapsed="false">
      <c r="A156" s="11"/>
      <c r="B156" s="6"/>
      <c r="C156" s="12" t="str">
        <f aca="false">IF(B156="","",IFERROR(INDEX('Silver Registry'!$B$4:$B$103,MATCH(B156,'Silver Registry'!$A$4:$A$103,0)),"Not found"))</f>
        <v/>
      </c>
      <c r="D156" s="6"/>
      <c r="E156" s="13" t="str">
        <f aca="false">IF(D156="","",IFERROR(INDEX('Reference Tables'!$B$3:$B$8,MATCH(D156,'Reference Tables'!$A$3:$A$8,0)),"Invalid package"))</f>
        <v/>
      </c>
      <c r="F156" s="12" t="str">
        <f aca="false">IF(D156="","",IFERROR(INDEX('Reference Tables'!$C$3:$C$8,MATCH(D156,'Reference Tables'!$A$3:$A$8,0)),"Invalid package"))</f>
        <v/>
      </c>
      <c r="G156" s="14" t="str">
        <f aca="false">IF(E156="","",'Reference Tables'!$C$14)</f>
        <v/>
      </c>
      <c r="H156" s="12" t="str">
        <f aca="false">IF(E156="","",IF(E156&gt;=150,"Yes","No"))</f>
        <v/>
      </c>
      <c r="I156" s="13" t="str">
        <f aca="false">IF(E156="","",IF(H156="Yes",E156*G156,0))</f>
        <v/>
      </c>
      <c r="J156" s="13" t="str">
        <f aca="false">IF(E156="","",E156-I156)</f>
        <v/>
      </c>
      <c r="K156" s="6"/>
      <c r="L156" s="6"/>
    </row>
    <row r="157" customFormat="false" ht="15" hidden="false" customHeight="false" outlineLevel="0" collapsed="false">
      <c r="A157" s="11"/>
      <c r="B157" s="6"/>
      <c r="C157" s="12" t="str">
        <f aca="false">IF(B157="","",IFERROR(INDEX('Silver Registry'!$B$4:$B$103,MATCH(B157,'Silver Registry'!$A$4:$A$103,0)),"Not found"))</f>
        <v/>
      </c>
      <c r="D157" s="6"/>
      <c r="E157" s="13" t="str">
        <f aca="false">IF(D157="","",IFERROR(INDEX('Reference Tables'!$B$3:$B$8,MATCH(D157,'Reference Tables'!$A$3:$A$8,0)),"Invalid package"))</f>
        <v/>
      </c>
      <c r="F157" s="12" t="str">
        <f aca="false">IF(D157="","",IFERROR(INDEX('Reference Tables'!$C$3:$C$8,MATCH(D157,'Reference Tables'!$A$3:$A$8,0)),"Invalid package"))</f>
        <v/>
      </c>
      <c r="G157" s="14" t="str">
        <f aca="false">IF(E157="","",'Reference Tables'!$C$14)</f>
        <v/>
      </c>
      <c r="H157" s="12" t="str">
        <f aca="false">IF(E157="","",IF(E157&gt;=150,"Yes","No"))</f>
        <v/>
      </c>
      <c r="I157" s="13" t="str">
        <f aca="false">IF(E157="","",IF(H157="Yes",E157*G157,0))</f>
        <v/>
      </c>
      <c r="J157" s="13" t="str">
        <f aca="false">IF(E157="","",E157-I157)</f>
        <v/>
      </c>
      <c r="K157" s="6"/>
      <c r="L157" s="6"/>
    </row>
    <row r="158" customFormat="false" ht="15" hidden="false" customHeight="false" outlineLevel="0" collapsed="false">
      <c r="A158" s="11"/>
      <c r="B158" s="6"/>
      <c r="C158" s="12" t="str">
        <f aca="false">IF(B158="","",IFERROR(INDEX('Silver Registry'!$B$4:$B$103,MATCH(B158,'Silver Registry'!$A$4:$A$103,0)),"Not found"))</f>
        <v/>
      </c>
      <c r="D158" s="6"/>
      <c r="E158" s="13" t="str">
        <f aca="false">IF(D158="","",IFERROR(INDEX('Reference Tables'!$B$3:$B$8,MATCH(D158,'Reference Tables'!$A$3:$A$8,0)),"Invalid package"))</f>
        <v/>
      </c>
      <c r="F158" s="12" t="str">
        <f aca="false">IF(D158="","",IFERROR(INDEX('Reference Tables'!$C$3:$C$8,MATCH(D158,'Reference Tables'!$A$3:$A$8,0)),"Invalid package"))</f>
        <v/>
      </c>
      <c r="G158" s="14" t="str">
        <f aca="false">IF(E158="","",'Reference Tables'!$C$14)</f>
        <v/>
      </c>
      <c r="H158" s="12" t="str">
        <f aca="false">IF(E158="","",IF(E158&gt;=150,"Yes","No"))</f>
        <v/>
      </c>
      <c r="I158" s="13" t="str">
        <f aca="false">IF(E158="","",IF(H158="Yes",E158*G158,0))</f>
        <v/>
      </c>
      <c r="J158" s="13" t="str">
        <f aca="false">IF(E158="","",E158-I158)</f>
        <v/>
      </c>
      <c r="K158" s="6"/>
      <c r="L158" s="6"/>
    </row>
    <row r="159" customFormat="false" ht="15" hidden="false" customHeight="false" outlineLevel="0" collapsed="false">
      <c r="A159" s="11"/>
      <c r="B159" s="6"/>
      <c r="C159" s="12" t="str">
        <f aca="false">IF(B159="","",IFERROR(INDEX('Silver Registry'!$B$4:$B$103,MATCH(B159,'Silver Registry'!$A$4:$A$103,0)),"Not found"))</f>
        <v/>
      </c>
      <c r="D159" s="6"/>
      <c r="E159" s="13" t="str">
        <f aca="false">IF(D159="","",IFERROR(INDEX('Reference Tables'!$B$3:$B$8,MATCH(D159,'Reference Tables'!$A$3:$A$8,0)),"Invalid package"))</f>
        <v/>
      </c>
      <c r="F159" s="12" t="str">
        <f aca="false">IF(D159="","",IFERROR(INDEX('Reference Tables'!$C$3:$C$8,MATCH(D159,'Reference Tables'!$A$3:$A$8,0)),"Invalid package"))</f>
        <v/>
      </c>
      <c r="G159" s="14" t="str">
        <f aca="false">IF(E159="","",'Reference Tables'!$C$14)</f>
        <v/>
      </c>
      <c r="H159" s="12" t="str">
        <f aca="false">IF(E159="","",IF(E159&gt;=150,"Yes","No"))</f>
        <v/>
      </c>
      <c r="I159" s="13" t="str">
        <f aca="false">IF(E159="","",IF(H159="Yes",E159*G159,0))</f>
        <v/>
      </c>
      <c r="J159" s="13" t="str">
        <f aca="false">IF(E159="","",E159-I159)</f>
        <v/>
      </c>
      <c r="K159" s="6"/>
      <c r="L159" s="6"/>
    </row>
    <row r="160" customFormat="false" ht="15" hidden="false" customHeight="false" outlineLevel="0" collapsed="false">
      <c r="A160" s="11"/>
      <c r="B160" s="6"/>
      <c r="C160" s="12" t="str">
        <f aca="false">IF(B160="","",IFERROR(INDEX('Silver Registry'!$B$4:$B$103,MATCH(B160,'Silver Registry'!$A$4:$A$103,0)),"Not found"))</f>
        <v/>
      </c>
      <c r="D160" s="6"/>
      <c r="E160" s="13" t="str">
        <f aca="false">IF(D160="","",IFERROR(INDEX('Reference Tables'!$B$3:$B$8,MATCH(D160,'Reference Tables'!$A$3:$A$8,0)),"Invalid package"))</f>
        <v/>
      </c>
      <c r="F160" s="12" t="str">
        <f aca="false">IF(D160="","",IFERROR(INDEX('Reference Tables'!$C$3:$C$8,MATCH(D160,'Reference Tables'!$A$3:$A$8,0)),"Invalid package"))</f>
        <v/>
      </c>
      <c r="G160" s="14" t="str">
        <f aca="false">IF(E160="","",'Reference Tables'!$C$14)</f>
        <v/>
      </c>
      <c r="H160" s="12" t="str">
        <f aca="false">IF(E160="","",IF(E160&gt;=150,"Yes","No"))</f>
        <v/>
      </c>
      <c r="I160" s="13" t="str">
        <f aca="false">IF(E160="","",IF(H160="Yes",E160*G160,0))</f>
        <v/>
      </c>
      <c r="J160" s="13" t="str">
        <f aca="false">IF(E160="","",E160-I160)</f>
        <v/>
      </c>
      <c r="K160" s="6"/>
      <c r="L160" s="6"/>
    </row>
    <row r="161" customFormat="false" ht="15" hidden="false" customHeight="false" outlineLevel="0" collapsed="false">
      <c r="A161" s="11"/>
      <c r="B161" s="6"/>
      <c r="C161" s="12" t="str">
        <f aca="false">IF(B161="","",IFERROR(INDEX('Silver Registry'!$B$4:$B$103,MATCH(B161,'Silver Registry'!$A$4:$A$103,0)),"Not found"))</f>
        <v/>
      </c>
      <c r="D161" s="6"/>
      <c r="E161" s="13" t="str">
        <f aca="false">IF(D161="","",IFERROR(INDEX('Reference Tables'!$B$3:$B$8,MATCH(D161,'Reference Tables'!$A$3:$A$8,0)),"Invalid package"))</f>
        <v/>
      </c>
      <c r="F161" s="12" t="str">
        <f aca="false">IF(D161="","",IFERROR(INDEX('Reference Tables'!$C$3:$C$8,MATCH(D161,'Reference Tables'!$A$3:$A$8,0)),"Invalid package"))</f>
        <v/>
      </c>
      <c r="G161" s="14" t="str">
        <f aca="false">IF(E161="","",'Reference Tables'!$C$14)</f>
        <v/>
      </c>
      <c r="H161" s="12" t="str">
        <f aca="false">IF(E161="","",IF(E161&gt;=150,"Yes","No"))</f>
        <v/>
      </c>
      <c r="I161" s="13" t="str">
        <f aca="false">IF(E161="","",IF(H161="Yes",E161*G161,0))</f>
        <v/>
      </c>
      <c r="J161" s="13" t="str">
        <f aca="false">IF(E161="","",E161-I161)</f>
        <v/>
      </c>
      <c r="K161" s="6"/>
      <c r="L161" s="6"/>
    </row>
    <row r="162" customFormat="false" ht="15" hidden="false" customHeight="false" outlineLevel="0" collapsed="false">
      <c r="A162" s="11"/>
      <c r="B162" s="6"/>
      <c r="C162" s="12" t="str">
        <f aca="false">IF(B162="","",IFERROR(INDEX('Silver Registry'!$B$4:$B$103,MATCH(B162,'Silver Registry'!$A$4:$A$103,0)),"Not found"))</f>
        <v/>
      </c>
      <c r="D162" s="6"/>
      <c r="E162" s="13" t="str">
        <f aca="false">IF(D162="","",IFERROR(INDEX('Reference Tables'!$B$3:$B$8,MATCH(D162,'Reference Tables'!$A$3:$A$8,0)),"Invalid package"))</f>
        <v/>
      </c>
      <c r="F162" s="12" t="str">
        <f aca="false">IF(D162="","",IFERROR(INDEX('Reference Tables'!$C$3:$C$8,MATCH(D162,'Reference Tables'!$A$3:$A$8,0)),"Invalid package"))</f>
        <v/>
      </c>
      <c r="G162" s="14" t="str">
        <f aca="false">IF(E162="","",'Reference Tables'!$C$14)</f>
        <v/>
      </c>
      <c r="H162" s="12" t="str">
        <f aca="false">IF(E162="","",IF(E162&gt;=150,"Yes","No"))</f>
        <v/>
      </c>
      <c r="I162" s="13" t="str">
        <f aca="false">IF(E162="","",IF(H162="Yes",E162*G162,0))</f>
        <v/>
      </c>
      <c r="J162" s="13" t="str">
        <f aca="false">IF(E162="","",E162-I162)</f>
        <v/>
      </c>
      <c r="K162" s="6"/>
      <c r="L162" s="6"/>
    </row>
    <row r="163" customFormat="false" ht="15" hidden="false" customHeight="false" outlineLevel="0" collapsed="false">
      <c r="A163" s="11"/>
      <c r="B163" s="6"/>
      <c r="C163" s="12" t="str">
        <f aca="false">IF(B163="","",IFERROR(INDEX('Silver Registry'!$B$4:$B$103,MATCH(B163,'Silver Registry'!$A$4:$A$103,0)),"Not found"))</f>
        <v/>
      </c>
      <c r="D163" s="6"/>
      <c r="E163" s="13" t="str">
        <f aca="false">IF(D163="","",IFERROR(INDEX('Reference Tables'!$B$3:$B$8,MATCH(D163,'Reference Tables'!$A$3:$A$8,0)),"Invalid package"))</f>
        <v/>
      </c>
      <c r="F163" s="12" t="str">
        <f aca="false">IF(D163="","",IFERROR(INDEX('Reference Tables'!$C$3:$C$8,MATCH(D163,'Reference Tables'!$A$3:$A$8,0)),"Invalid package"))</f>
        <v/>
      </c>
      <c r="G163" s="14" t="str">
        <f aca="false">IF(E163="","",'Reference Tables'!$C$14)</f>
        <v/>
      </c>
      <c r="H163" s="12" t="str">
        <f aca="false">IF(E163="","",IF(E163&gt;=150,"Yes","No"))</f>
        <v/>
      </c>
      <c r="I163" s="13" t="str">
        <f aca="false">IF(E163="","",IF(H163="Yes",E163*G163,0))</f>
        <v/>
      </c>
      <c r="J163" s="13" t="str">
        <f aca="false">IF(E163="","",E163-I163)</f>
        <v/>
      </c>
      <c r="K163" s="6"/>
      <c r="L163" s="6"/>
    </row>
    <row r="164" customFormat="false" ht="15" hidden="false" customHeight="false" outlineLevel="0" collapsed="false">
      <c r="A164" s="11"/>
      <c r="B164" s="6"/>
      <c r="C164" s="12" t="str">
        <f aca="false">IF(B164="","",IFERROR(INDEX('Silver Registry'!$B$4:$B$103,MATCH(B164,'Silver Registry'!$A$4:$A$103,0)),"Not found"))</f>
        <v/>
      </c>
      <c r="D164" s="6"/>
      <c r="E164" s="13" t="str">
        <f aca="false">IF(D164="","",IFERROR(INDEX('Reference Tables'!$B$3:$B$8,MATCH(D164,'Reference Tables'!$A$3:$A$8,0)),"Invalid package"))</f>
        <v/>
      </c>
      <c r="F164" s="12" t="str">
        <f aca="false">IF(D164="","",IFERROR(INDEX('Reference Tables'!$C$3:$C$8,MATCH(D164,'Reference Tables'!$A$3:$A$8,0)),"Invalid package"))</f>
        <v/>
      </c>
      <c r="G164" s="14" t="str">
        <f aca="false">IF(E164="","",'Reference Tables'!$C$14)</f>
        <v/>
      </c>
      <c r="H164" s="12" t="str">
        <f aca="false">IF(E164="","",IF(E164&gt;=150,"Yes","No"))</f>
        <v/>
      </c>
      <c r="I164" s="13" t="str">
        <f aca="false">IF(E164="","",IF(H164="Yes",E164*G164,0))</f>
        <v/>
      </c>
      <c r="J164" s="13" t="str">
        <f aca="false">IF(E164="","",E164-I164)</f>
        <v/>
      </c>
      <c r="K164" s="6"/>
      <c r="L164" s="6"/>
    </row>
    <row r="165" customFormat="false" ht="15" hidden="false" customHeight="false" outlineLevel="0" collapsed="false">
      <c r="A165" s="11"/>
      <c r="B165" s="6"/>
      <c r="C165" s="12" t="str">
        <f aca="false">IF(B165="","",IFERROR(INDEX('Silver Registry'!$B$4:$B$103,MATCH(B165,'Silver Registry'!$A$4:$A$103,0)),"Not found"))</f>
        <v/>
      </c>
      <c r="D165" s="6"/>
      <c r="E165" s="13" t="str">
        <f aca="false">IF(D165="","",IFERROR(INDEX('Reference Tables'!$B$3:$B$8,MATCH(D165,'Reference Tables'!$A$3:$A$8,0)),"Invalid package"))</f>
        <v/>
      </c>
      <c r="F165" s="12" t="str">
        <f aca="false">IF(D165="","",IFERROR(INDEX('Reference Tables'!$C$3:$C$8,MATCH(D165,'Reference Tables'!$A$3:$A$8,0)),"Invalid package"))</f>
        <v/>
      </c>
      <c r="G165" s="14" t="str">
        <f aca="false">IF(E165="","",'Reference Tables'!$C$14)</f>
        <v/>
      </c>
      <c r="H165" s="12" t="str">
        <f aca="false">IF(E165="","",IF(E165&gt;=150,"Yes","No"))</f>
        <v/>
      </c>
      <c r="I165" s="13" t="str">
        <f aca="false">IF(E165="","",IF(H165="Yes",E165*G165,0))</f>
        <v/>
      </c>
      <c r="J165" s="13" t="str">
        <f aca="false">IF(E165="","",E165-I165)</f>
        <v/>
      </c>
      <c r="K165" s="6"/>
      <c r="L165" s="6"/>
    </row>
    <row r="166" customFormat="false" ht="15" hidden="false" customHeight="false" outlineLevel="0" collapsed="false">
      <c r="A166" s="11"/>
      <c r="B166" s="6"/>
      <c r="C166" s="12" t="str">
        <f aca="false">IF(B166="","",IFERROR(INDEX('Silver Registry'!$B$4:$B$103,MATCH(B166,'Silver Registry'!$A$4:$A$103,0)),"Not found"))</f>
        <v/>
      </c>
      <c r="D166" s="6"/>
      <c r="E166" s="13" t="str">
        <f aca="false">IF(D166="","",IFERROR(INDEX('Reference Tables'!$B$3:$B$8,MATCH(D166,'Reference Tables'!$A$3:$A$8,0)),"Invalid package"))</f>
        <v/>
      </c>
      <c r="F166" s="12" t="str">
        <f aca="false">IF(D166="","",IFERROR(INDEX('Reference Tables'!$C$3:$C$8,MATCH(D166,'Reference Tables'!$A$3:$A$8,0)),"Invalid package"))</f>
        <v/>
      </c>
      <c r="G166" s="14" t="str">
        <f aca="false">IF(E166="","",'Reference Tables'!$C$14)</f>
        <v/>
      </c>
      <c r="H166" s="12" t="str">
        <f aca="false">IF(E166="","",IF(E166&gt;=150,"Yes","No"))</f>
        <v/>
      </c>
      <c r="I166" s="13" t="str">
        <f aca="false">IF(E166="","",IF(H166="Yes",E166*G166,0))</f>
        <v/>
      </c>
      <c r="J166" s="13" t="str">
        <f aca="false">IF(E166="","",E166-I166)</f>
        <v/>
      </c>
      <c r="K166" s="6"/>
      <c r="L166" s="6"/>
    </row>
    <row r="167" customFormat="false" ht="15" hidden="false" customHeight="false" outlineLevel="0" collapsed="false">
      <c r="A167" s="11"/>
      <c r="B167" s="6"/>
      <c r="C167" s="12" t="str">
        <f aca="false">IF(B167="","",IFERROR(INDEX('Silver Registry'!$B$4:$B$103,MATCH(B167,'Silver Registry'!$A$4:$A$103,0)),"Not found"))</f>
        <v/>
      </c>
      <c r="D167" s="6"/>
      <c r="E167" s="13" t="str">
        <f aca="false">IF(D167="","",IFERROR(INDEX('Reference Tables'!$B$3:$B$8,MATCH(D167,'Reference Tables'!$A$3:$A$8,0)),"Invalid package"))</f>
        <v/>
      </c>
      <c r="F167" s="12" t="str">
        <f aca="false">IF(D167="","",IFERROR(INDEX('Reference Tables'!$C$3:$C$8,MATCH(D167,'Reference Tables'!$A$3:$A$8,0)),"Invalid package"))</f>
        <v/>
      </c>
      <c r="G167" s="14" t="str">
        <f aca="false">IF(E167="","",'Reference Tables'!$C$14)</f>
        <v/>
      </c>
      <c r="H167" s="12" t="str">
        <f aca="false">IF(E167="","",IF(E167&gt;=150,"Yes","No"))</f>
        <v/>
      </c>
      <c r="I167" s="13" t="str">
        <f aca="false">IF(E167="","",IF(H167="Yes",E167*G167,0))</f>
        <v/>
      </c>
      <c r="J167" s="13" t="str">
        <f aca="false">IF(E167="","",E167-I167)</f>
        <v/>
      </c>
      <c r="K167" s="6"/>
      <c r="L167" s="6"/>
    </row>
    <row r="168" customFormat="false" ht="15" hidden="false" customHeight="false" outlineLevel="0" collapsed="false">
      <c r="A168" s="11"/>
      <c r="B168" s="6"/>
      <c r="C168" s="12" t="str">
        <f aca="false">IF(B168="","",IFERROR(INDEX('Silver Registry'!$B$4:$B$103,MATCH(B168,'Silver Registry'!$A$4:$A$103,0)),"Not found"))</f>
        <v/>
      </c>
      <c r="D168" s="6"/>
      <c r="E168" s="13" t="str">
        <f aca="false">IF(D168="","",IFERROR(INDEX('Reference Tables'!$B$3:$B$8,MATCH(D168,'Reference Tables'!$A$3:$A$8,0)),"Invalid package"))</f>
        <v/>
      </c>
      <c r="F168" s="12" t="str">
        <f aca="false">IF(D168="","",IFERROR(INDEX('Reference Tables'!$C$3:$C$8,MATCH(D168,'Reference Tables'!$A$3:$A$8,0)),"Invalid package"))</f>
        <v/>
      </c>
      <c r="G168" s="14" t="str">
        <f aca="false">IF(E168="","",'Reference Tables'!$C$14)</f>
        <v/>
      </c>
      <c r="H168" s="12" t="str">
        <f aca="false">IF(E168="","",IF(E168&gt;=150,"Yes","No"))</f>
        <v/>
      </c>
      <c r="I168" s="13" t="str">
        <f aca="false">IF(E168="","",IF(H168="Yes",E168*G168,0))</f>
        <v/>
      </c>
      <c r="J168" s="13" t="str">
        <f aca="false">IF(E168="","",E168-I168)</f>
        <v/>
      </c>
      <c r="K168" s="6"/>
      <c r="L168" s="6"/>
    </row>
    <row r="169" customFormat="false" ht="15" hidden="false" customHeight="false" outlineLevel="0" collapsed="false">
      <c r="A169" s="11"/>
      <c r="B169" s="6"/>
      <c r="C169" s="12" t="str">
        <f aca="false">IF(B169="","",IFERROR(INDEX('Silver Registry'!$B$4:$B$103,MATCH(B169,'Silver Registry'!$A$4:$A$103,0)),"Not found"))</f>
        <v/>
      </c>
      <c r="D169" s="6"/>
      <c r="E169" s="13" t="str">
        <f aca="false">IF(D169="","",IFERROR(INDEX('Reference Tables'!$B$3:$B$8,MATCH(D169,'Reference Tables'!$A$3:$A$8,0)),"Invalid package"))</f>
        <v/>
      </c>
      <c r="F169" s="12" t="str">
        <f aca="false">IF(D169="","",IFERROR(INDEX('Reference Tables'!$C$3:$C$8,MATCH(D169,'Reference Tables'!$A$3:$A$8,0)),"Invalid package"))</f>
        <v/>
      </c>
      <c r="G169" s="14" t="str">
        <f aca="false">IF(E169="","",'Reference Tables'!$C$14)</f>
        <v/>
      </c>
      <c r="H169" s="12" t="str">
        <f aca="false">IF(E169="","",IF(E169&gt;=150,"Yes","No"))</f>
        <v/>
      </c>
      <c r="I169" s="13" t="str">
        <f aca="false">IF(E169="","",IF(H169="Yes",E169*G169,0))</f>
        <v/>
      </c>
      <c r="J169" s="13" t="str">
        <f aca="false">IF(E169="","",E169-I169)</f>
        <v/>
      </c>
      <c r="K169" s="6"/>
      <c r="L169" s="6"/>
    </row>
    <row r="170" customFormat="false" ht="15" hidden="false" customHeight="false" outlineLevel="0" collapsed="false">
      <c r="A170" s="11"/>
      <c r="B170" s="6"/>
      <c r="C170" s="12" t="str">
        <f aca="false">IF(B170="","",IFERROR(INDEX('Silver Registry'!$B$4:$B$103,MATCH(B170,'Silver Registry'!$A$4:$A$103,0)),"Not found"))</f>
        <v/>
      </c>
      <c r="D170" s="6"/>
      <c r="E170" s="13" t="str">
        <f aca="false">IF(D170="","",IFERROR(INDEX('Reference Tables'!$B$3:$B$8,MATCH(D170,'Reference Tables'!$A$3:$A$8,0)),"Invalid package"))</f>
        <v/>
      </c>
      <c r="F170" s="12" t="str">
        <f aca="false">IF(D170="","",IFERROR(INDEX('Reference Tables'!$C$3:$C$8,MATCH(D170,'Reference Tables'!$A$3:$A$8,0)),"Invalid package"))</f>
        <v/>
      </c>
      <c r="G170" s="14" t="str">
        <f aca="false">IF(E170="","",'Reference Tables'!$C$14)</f>
        <v/>
      </c>
      <c r="H170" s="12" t="str">
        <f aca="false">IF(E170="","",IF(E170&gt;=150,"Yes","No"))</f>
        <v/>
      </c>
      <c r="I170" s="13" t="str">
        <f aca="false">IF(E170="","",IF(H170="Yes",E170*G170,0))</f>
        <v/>
      </c>
      <c r="J170" s="13" t="str">
        <f aca="false">IF(E170="","",E170-I170)</f>
        <v/>
      </c>
      <c r="K170" s="6"/>
      <c r="L170" s="6"/>
    </row>
    <row r="171" customFormat="false" ht="15" hidden="false" customHeight="false" outlineLevel="0" collapsed="false">
      <c r="A171" s="11"/>
      <c r="B171" s="6"/>
      <c r="C171" s="12" t="str">
        <f aca="false">IF(B171="","",IFERROR(INDEX('Silver Registry'!$B$4:$B$103,MATCH(B171,'Silver Registry'!$A$4:$A$103,0)),"Not found"))</f>
        <v/>
      </c>
      <c r="D171" s="6"/>
      <c r="E171" s="13" t="str">
        <f aca="false">IF(D171="","",IFERROR(INDEX('Reference Tables'!$B$3:$B$8,MATCH(D171,'Reference Tables'!$A$3:$A$8,0)),"Invalid package"))</f>
        <v/>
      </c>
      <c r="F171" s="12" t="str">
        <f aca="false">IF(D171="","",IFERROR(INDEX('Reference Tables'!$C$3:$C$8,MATCH(D171,'Reference Tables'!$A$3:$A$8,0)),"Invalid package"))</f>
        <v/>
      </c>
      <c r="G171" s="14" t="str">
        <f aca="false">IF(E171="","",'Reference Tables'!$C$14)</f>
        <v/>
      </c>
      <c r="H171" s="12" t="str">
        <f aca="false">IF(E171="","",IF(E171&gt;=150,"Yes","No"))</f>
        <v/>
      </c>
      <c r="I171" s="13" t="str">
        <f aca="false">IF(E171="","",IF(H171="Yes",E171*G171,0))</f>
        <v/>
      </c>
      <c r="J171" s="13" t="str">
        <f aca="false">IF(E171="","",E171-I171)</f>
        <v/>
      </c>
      <c r="K171" s="6"/>
      <c r="L171" s="6"/>
    </row>
    <row r="172" customFormat="false" ht="15" hidden="false" customHeight="false" outlineLevel="0" collapsed="false">
      <c r="A172" s="11"/>
      <c r="B172" s="6"/>
      <c r="C172" s="12" t="str">
        <f aca="false">IF(B172="","",IFERROR(INDEX('Silver Registry'!$B$4:$B$103,MATCH(B172,'Silver Registry'!$A$4:$A$103,0)),"Not found"))</f>
        <v/>
      </c>
      <c r="D172" s="6"/>
      <c r="E172" s="13" t="str">
        <f aca="false">IF(D172="","",IFERROR(INDEX('Reference Tables'!$B$3:$B$8,MATCH(D172,'Reference Tables'!$A$3:$A$8,0)),"Invalid package"))</f>
        <v/>
      </c>
      <c r="F172" s="12" t="str">
        <f aca="false">IF(D172="","",IFERROR(INDEX('Reference Tables'!$C$3:$C$8,MATCH(D172,'Reference Tables'!$A$3:$A$8,0)),"Invalid package"))</f>
        <v/>
      </c>
      <c r="G172" s="14" t="str">
        <f aca="false">IF(E172="","",'Reference Tables'!$C$14)</f>
        <v/>
      </c>
      <c r="H172" s="12" t="str">
        <f aca="false">IF(E172="","",IF(E172&gt;=150,"Yes","No"))</f>
        <v/>
      </c>
      <c r="I172" s="13" t="str">
        <f aca="false">IF(E172="","",IF(H172="Yes",E172*G172,0))</f>
        <v/>
      </c>
      <c r="J172" s="13" t="str">
        <f aca="false">IF(E172="","",E172-I172)</f>
        <v/>
      </c>
      <c r="K172" s="6"/>
      <c r="L172" s="6"/>
    </row>
    <row r="173" customFormat="false" ht="15" hidden="false" customHeight="false" outlineLevel="0" collapsed="false">
      <c r="A173" s="11"/>
      <c r="B173" s="6"/>
      <c r="C173" s="12" t="str">
        <f aca="false">IF(B173="","",IFERROR(INDEX('Silver Registry'!$B$4:$B$103,MATCH(B173,'Silver Registry'!$A$4:$A$103,0)),"Not found"))</f>
        <v/>
      </c>
      <c r="D173" s="6"/>
      <c r="E173" s="13" t="str">
        <f aca="false">IF(D173="","",IFERROR(INDEX('Reference Tables'!$B$3:$B$8,MATCH(D173,'Reference Tables'!$A$3:$A$8,0)),"Invalid package"))</f>
        <v/>
      </c>
      <c r="F173" s="12" t="str">
        <f aca="false">IF(D173="","",IFERROR(INDEX('Reference Tables'!$C$3:$C$8,MATCH(D173,'Reference Tables'!$A$3:$A$8,0)),"Invalid package"))</f>
        <v/>
      </c>
      <c r="G173" s="14" t="str">
        <f aca="false">IF(E173="","",'Reference Tables'!$C$14)</f>
        <v/>
      </c>
      <c r="H173" s="12" t="str">
        <f aca="false">IF(E173="","",IF(E173&gt;=150,"Yes","No"))</f>
        <v/>
      </c>
      <c r="I173" s="13" t="str">
        <f aca="false">IF(E173="","",IF(H173="Yes",E173*G173,0))</f>
        <v/>
      </c>
      <c r="J173" s="13" t="str">
        <f aca="false">IF(E173="","",E173-I173)</f>
        <v/>
      </c>
      <c r="K173" s="6"/>
      <c r="L173" s="6"/>
    </row>
    <row r="174" customFormat="false" ht="15" hidden="false" customHeight="false" outlineLevel="0" collapsed="false">
      <c r="A174" s="11"/>
      <c r="B174" s="6"/>
      <c r="C174" s="12" t="str">
        <f aca="false">IF(B174="","",IFERROR(INDEX('Silver Registry'!$B$4:$B$103,MATCH(B174,'Silver Registry'!$A$4:$A$103,0)),"Not found"))</f>
        <v/>
      </c>
      <c r="D174" s="6"/>
      <c r="E174" s="13" t="str">
        <f aca="false">IF(D174="","",IFERROR(INDEX('Reference Tables'!$B$3:$B$8,MATCH(D174,'Reference Tables'!$A$3:$A$8,0)),"Invalid package"))</f>
        <v/>
      </c>
      <c r="F174" s="12" t="str">
        <f aca="false">IF(D174="","",IFERROR(INDEX('Reference Tables'!$C$3:$C$8,MATCH(D174,'Reference Tables'!$A$3:$A$8,0)),"Invalid package"))</f>
        <v/>
      </c>
      <c r="G174" s="14" t="str">
        <f aca="false">IF(E174="","",'Reference Tables'!$C$14)</f>
        <v/>
      </c>
      <c r="H174" s="12" t="str">
        <f aca="false">IF(E174="","",IF(E174&gt;=150,"Yes","No"))</f>
        <v/>
      </c>
      <c r="I174" s="13" t="str">
        <f aca="false">IF(E174="","",IF(H174="Yes",E174*G174,0))</f>
        <v/>
      </c>
      <c r="J174" s="13" t="str">
        <f aca="false">IF(E174="","",E174-I174)</f>
        <v/>
      </c>
      <c r="K174" s="6"/>
      <c r="L174" s="6"/>
    </row>
    <row r="175" customFormat="false" ht="15" hidden="false" customHeight="false" outlineLevel="0" collapsed="false">
      <c r="A175" s="11"/>
      <c r="B175" s="6"/>
      <c r="C175" s="12" t="str">
        <f aca="false">IF(B175="","",IFERROR(INDEX('Silver Registry'!$B$4:$B$103,MATCH(B175,'Silver Registry'!$A$4:$A$103,0)),"Not found"))</f>
        <v/>
      </c>
      <c r="D175" s="6"/>
      <c r="E175" s="13" t="str">
        <f aca="false">IF(D175="","",IFERROR(INDEX('Reference Tables'!$B$3:$B$8,MATCH(D175,'Reference Tables'!$A$3:$A$8,0)),"Invalid package"))</f>
        <v/>
      </c>
      <c r="F175" s="12" t="str">
        <f aca="false">IF(D175="","",IFERROR(INDEX('Reference Tables'!$C$3:$C$8,MATCH(D175,'Reference Tables'!$A$3:$A$8,0)),"Invalid package"))</f>
        <v/>
      </c>
      <c r="G175" s="14" t="str">
        <f aca="false">IF(E175="","",'Reference Tables'!$C$14)</f>
        <v/>
      </c>
      <c r="H175" s="12" t="str">
        <f aca="false">IF(E175="","",IF(E175&gt;=150,"Yes","No"))</f>
        <v/>
      </c>
      <c r="I175" s="13" t="str">
        <f aca="false">IF(E175="","",IF(H175="Yes",E175*G175,0))</f>
        <v/>
      </c>
      <c r="J175" s="13" t="str">
        <f aca="false">IF(E175="","",E175-I175)</f>
        <v/>
      </c>
      <c r="K175" s="6"/>
      <c r="L175" s="6"/>
    </row>
    <row r="176" customFormat="false" ht="15" hidden="false" customHeight="false" outlineLevel="0" collapsed="false">
      <c r="A176" s="11"/>
      <c r="B176" s="6"/>
      <c r="C176" s="12" t="str">
        <f aca="false">IF(B176="","",IFERROR(INDEX('Silver Registry'!$B$4:$B$103,MATCH(B176,'Silver Registry'!$A$4:$A$103,0)),"Not found"))</f>
        <v/>
      </c>
      <c r="D176" s="6"/>
      <c r="E176" s="13" t="str">
        <f aca="false">IF(D176="","",IFERROR(INDEX('Reference Tables'!$B$3:$B$8,MATCH(D176,'Reference Tables'!$A$3:$A$8,0)),"Invalid package"))</f>
        <v/>
      </c>
      <c r="F176" s="12" t="str">
        <f aca="false">IF(D176="","",IFERROR(INDEX('Reference Tables'!$C$3:$C$8,MATCH(D176,'Reference Tables'!$A$3:$A$8,0)),"Invalid package"))</f>
        <v/>
      </c>
      <c r="G176" s="14" t="str">
        <f aca="false">IF(E176="","",'Reference Tables'!$C$14)</f>
        <v/>
      </c>
      <c r="H176" s="12" t="str">
        <f aca="false">IF(E176="","",IF(E176&gt;=150,"Yes","No"))</f>
        <v/>
      </c>
      <c r="I176" s="13" t="str">
        <f aca="false">IF(E176="","",IF(H176="Yes",E176*G176,0))</f>
        <v/>
      </c>
      <c r="J176" s="13" t="str">
        <f aca="false">IF(E176="","",E176-I176)</f>
        <v/>
      </c>
      <c r="K176" s="6"/>
      <c r="L176" s="6"/>
    </row>
    <row r="177" customFormat="false" ht="15" hidden="false" customHeight="false" outlineLevel="0" collapsed="false">
      <c r="A177" s="11"/>
      <c r="B177" s="6"/>
      <c r="C177" s="12" t="str">
        <f aca="false">IF(B177="","",IFERROR(INDEX('Silver Registry'!$B$4:$B$103,MATCH(B177,'Silver Registry'!$A$4:$A$103,0)),"Not found"))</f>
        <v/>
      </c>
      <c r="D177" s="6"/>
      <c r="E177" s="13" t="str">
        <f aca="false">IF(D177="","",IFERROR(INDEX('Reference Tables'!$B$3:$B$8,MATCH(D177,'Reference Tables'!$A$3:$A$8,0)),"Invalid package"))</f>
        <v/>
      </c>
      <c r="F177" s="12" t="str">
        <f aca="false">IF(D177="","",IFERROR(INDEX('Reference Tables'!$C$3:$C$8,MATCH(D177,'Reference Tables'!$A$3:$A$8,0)),"Invalid package"))</f>
        <v/>
      </c>
      <c r="G177" s="14" t="str">
        <f aca="false">IF(E177="","",'Reference Tables'!$C$14)</f>
        <v/>
      </c>
      <c r="H177" s="12" t="str">
        <f aca="false">IF(E177="","",IF(E177&gt;=150,"Yes","No"))</f>
        <v/>
      </c>
      <c r="I177" s="13" t="str">
        <f aca="false">IF(E177="","",IF(H177="Yes",E177*G177,0))</f>
        <v/>
      </c>
      <c r="J177" s="13" t="str">
        <f aca="false">IF(E177="","",E177-I177)</f>
        <v/>
      </c>
      <c r="K177" s="6"/>
      <c r="L177" s="6"/>
    </row>
    <row r="178" customFormat="false" ht="15" hidden="false" customHeight="false" outlineLevel="0" collapsed="false">
      <c r="A178" s="11"/>
      <c r="B178" s="6"/>
      <c r="C178" s="12" t="str">
        <f aca="false">IF(B178="","",IFERROR(INDEX('Silver Registry'!$B$4:$B$103,MATCH(B178,'Silver Registry'!$A$4:$A$103,0)),"Not found"))</f>
        <v/>
      </c>
      <c r="D178" s="6"/>
      <c r="E178" s="13" t="str">
        <f aca="false">IF(D178="","",IFERROR(INDEX('Reference Tables'!$B$3:$B$8,MATCH(D178,'Reference Tables'!$A$3:$A$8,0)),"Invalid package"))</f>
        <v/>
      </c>
      <c r="F178" s="12" t="str">
        <f aca="false">IF(D178="","",IFERROR(INDEX('Reference Tables'!$C$3:$C$8,MATCH(D178,'Reference Tables'!$A$3:$A$8,0)),"Invalid package"))</f>
        <v/>
      </c>
      <c r="G178" s="14" t="str">
        <f aca="false">IF(E178="","",'Reference Tables'!$C$14)</f>
        <v/>
      </c>
      <c r="H178" s="12" t="str">
        <f aca="false">IF(E178="","",IF(E178&gt;=150,"Yes","No"))</f>
        <v/>
      </c>
      <c r="I178" s="13" t="str">
        <f aca="false">IF(E178="","",IF(H178="Yes",E178*G178,0))</f>
        <v/>
      </c>
      <c r="J178" s="13" t="str">
        <f aca="false">IF(E178="","",E178-I178)</f>
        <v/>
      </c>
      <c r="K178" s="6"/>
      <c r="L178" s="6"/>
    </row>
    <row r="179" customFormat="false" ht="15" hidden="false" customHeight="false" outlineLevel="0" collapsed="false">
      <c r="A179" s="11"/>
      <c r="B179" s="6"/>
      <c r="C179" s="12" t="str">
        <f aca="false">IF(B179="","",IFERROR(INDEX('Silver Registry'!$B$4:$B$103,MATCH(B179,'Silver Registry'!$A$4:$A$103,0)),"Not found"))</f>
        <v/>
      </c>
      <c r="D179" s="6"/>
      <c r="E179" s="13" t="str">
        <f aca="false">IF(D179="","",IFERROR(INDEX('Reference Tables'!$B$3:$B$8,MATCH(D179,'Reference Tables'!$A$3:$A$8,0)),"Invalid package"))</f>
        <v/>
      </c>
      <c r="F179" s="12" t="str">
        <f aca="false">IF(D179="","",IFERROR(INDEX('Reference Tables'!$C$3:$C$8,MATCH(D179,'Reference Tables'!$A$3:$A$8,0)),"Invalid package"))</f>
        <v/>
      </c>
      <c r="G179" s="14" t="str">
        <f aca="false">IF(E179="","",'Reference Tables'!$C$14)</f>
        <v/>
      </c>
      <c r="H179" s="12" t="str">
        <f aca="false">IF(E179="","",IF(E179&gt;=150,"Yes","No"))</f>
        <v/>
      </c>
      <c r="I179" s="13" t="str">
        <f aca="false">IF(E179="","",IF(H179="Yes",E179*G179,0))</f>
        <v/>
      </c>
      <c r="J179" s="13" t="str">
        <f aca="false">IF(E179="","",E179-I179)</f>
        <v/>
      </c>
      <c r="K179" s="6"/>
      <c r="L179" s="6"/>
    </row>
    <row r="180" customFormat="false" ht="15" hidden="false" customHeight="false" outlineLevel="0" collapsed="false">
      <c r="A180" s="11"/>
      <c r="B180" s="6"/>
      <c r="C180" s="12" t="str">
        <f aca="false">IF(B180="","",IFERROR(INDEX('Silver Registry'!$B$4:$B$103,MATCH(B180,'Silver Registry'!$A$4:$A$103,0)),"Not found"))</f>
        <v/>
      </c>
      <c r="D180" s="6"/>
      <c r="E180" s="13" t="str">
        <f aca="false">IF(D180="","",IFERROR(INDEX('Reference Tables'!$B$3:$B$8,MATCH(D180,'Reference Tables'!$A$3:$A$8,0)),"Invalid package"))</f>
        <v/>
      </c>
      <c r="F180" s="12" t="str">
        <f aca="false">IF(D180="","",IFERROR(INDEX('Reference Tables'!$C$3:$C$8,MATCH(D180,'Reference Tables'!$A$3:$A$8,0)),"Invalid package"))</f>
        <v/>
      </c>
      <c r="G180" s="14" t="str">
        <f aca="false">IF(E180="","",'Reference Tables'!$C$14)</f>
        <v/>
      </c>
      <c r="H180" s="12" t="str">
        <f aca="false">IF(E180="","",IF(E180&gt;=150,"Yes","No"))</f>
        <v/>
      </c>
      <c r="I180" s="13" t="str">
        <f aca="false">IF(E180="","",IF(H180="Yes",E180*G180,0))</f>
        <v/>
      </c>
      <c r="J180" s="13" t="str">
        <f aca="false">IF(E180="","",E180-I180)</f>
        <v/>
      </c>
      <c r="K180" s="6"/>
      <c r="L180" s="6"/>
    </row>
    <row r="181" customFormat="false" ht="15" hidden="false" customHeight="false" outlineLevel="0" collapsed="false">
      <c r="A181" s="11"/>
      <c r="B181" s="6"/>
      <c r="C181" s="12" t="str">
        <f aca="false">IF(B181="","",IFERROR(INDEX('Silver Registry'!$B$4:$B$103,MATCH(B181,'Silver Registry'!$A$4:$A$103,0)),"Not found"))</f>
        <v/>
      </c>
      <c r="D181" s="6"/>
      <c r="E181" s="13" t="str">
        <f aca="false">IF(D181="","",IFERROR(INDEX('Reference Tables'!$B$3:$B$8,MATCH(D181,'Reference Tables'!$A$3:$A$8,0)),"Invalid package"))</f>
        <v/>
      </c>
      <c r="F181" s="12" t="str">
        <f aca="false">IF(D181="","",IFERROR(INDEX('Reference Tables'!$C$3:$C$8,MATCH(D181,'Reference Tables'!$A$3:$A$8,0)),"Invalid package"))</f>
        <v/>
      </c>
      <c r="G181" s="14" t="str">
        <f aca="false">IF(E181="","",'Reference Tables'!$C$14)</f>
        <v/>
      </c>
      <c r="H181" s="12" t="str">
        <f aca="false">IF(E181="","",IF(E181&gt;=150,"Yes","No"))</f>
        <v/>
      </c>
      <c r="I181" s="13" t="str">
        <f aca="false">IF(E181="","",IF(H181="Yes",E181*G181,0))</f>
        <v/>
      </c>
      <c r="J181" s="13" t="str">
        <f aca="false">IF(E181="","",E181-I181)</f>
        <v/>
      </c>
      <c r="K181" s="6"/>
      <c r="L181" s="6"/>
    </row>
    <row r="182" customFormat="false" ht="15" hidden="false" customHeight="false" outlineLevel="0" collapsed="false">
      <c r="A182" s="11"/>
      <c r="B182" s="6"/>
      <c r="C182" s="12" t="str">
        <f aca="false">IF(B182="","",IFERROR(INDEX('Silver Registry'!$B$4:$B$103,MATCH(B182,'Silver Registry'!$A$4:$A$103,0)),"Not found"))</f>
        <v/>
      </c>
      <c r="D182" s="6"/>
      <c r="E182" s="13" t="str">
        <f aca="false">IF(D182="","",IFERROR(INDEX('Reference Tables'!$B$3:$B$8,MATCH(D182,'Reference Tables'!$A$3:$A$8,0)),"Invalid package"))</f>
        <v/>
      </c>
      <c r="F182" s="12" t="str">
        <f aca="false">IF(D182="","",IFERROR(INDEX('Reference Tables'!$C$3:$C$8,MATCH(D182,'Reference Tables'!$A$3:$A$8,0)),"Invalid package"))</f>
        <v/>
      </c>
      <c r="G182" s="14" t="str">
        <f aca="false">IF(E182="","",'Reference Tables'!$C$14)</f>
        <v/>
      </c>
      <c r="H182" s="12" t="str">
        <f aca="false">IF(E182="","",IF(E182&gt;=150,"Yes","No"))</f>
        <v/>
      </c>
      <c r="I182" s="13" t="str">
        <f aca="false">IF(E182="","",IF(H182="Yes",E182*G182,0))</f>
        <v/>
      </c>
      <c r="J182" s="13" t="str">
        <f aca="false">IF(E182="","",E182-I182)</f>
        <v/>
      </c>
      <c r="K182" s="6"/>
      <c r="L182" s="6"/>
    </row>
    <row r="183" customFormat="false" ht="15" hidden="false" customHeight="false" outlineLevel="0" collapsed="false">
      <c r="A183" s="11"/>
      <c r="B183" s="6"/>
      <c r="C183" s="12" t="str">
        <f aca="false">IF(B183="","",IFERROR(INDEX('Silver Registry'!$B$4:$B$103,MATCH(B183,'Silver Registry'!$A$4:$A$103,0)),"Not found"))</f>
        <v/>
      </c>
      <c r="D183" s="6"/>
      <c r="E183" s="13" t="str">
        <f aca="false">IF(D183="","",IFERROR(INDEX('Reference Tables'!$B$3:$B$8,MATCH(D183,'Reference Tables'!$A$3:$A$8,0)),"Invalid package"))</f>
        <v/>
      </c>
      <c r="F183" s="12" t="str">
        <f aca="false">IF(D183="","",IFERROR(INDEX('Reference Tables'!$C$3:$C$8,MATCH(D183,'Reference Tables'!$A$3:$A$8,0)),"Invalid package"))</f>
        <v/>
      </c>
      <c r="G183" s="14" t="str">
        <f aca="false">IF(E183="","",'Reference Tables'!$C$14)</f>
        <v/>
      </c>
      <c r="H183" s="12" t="str">
        <f aca="false">IF(E183="","",IF(E183&gt;=150,"Yes","No"))</f>
        <v/>
      </c>
      <c r="I183" s="13" t="str">
        <f aca="false">IF(E183="","",IF(H183="Yes",E183*G183,0))</f>
        <v/>
      </c>
      <c r="J183" s="13" t="str">
        <f aca="false">IF(E183="","",E183-I183)</f>
        <v/>
      </c>
      <c r="K183" s="6"/>
      <c r="L183" s="6"/>
    </row>
    <row r="184" customFormat="false" ht="15" hidden="false" customHeight="false" outlineLevel="0" collapsed="false">
      <c r="A184" s="11"/>
      <c r="B184" s="6"/>
      <c r="C184" s="12" t="str">
        <f aca="false">IF(B184="","",IFERROR(INDEX('Silver Registry'!$B$4:$B$103,MATCH(B184,'Silver Registry'!$A$4:$A$103,0)),"Not found"))</f>
        <v/>
      </c>
      <c r="D184" s="6"/>
      <c r="E184" s="13" t="str">
        <f aca="false">IF(D184="","",IFERROR(INDEX('Reference Tables'!$B$3:$B$8,MATCH(D184,'Reference Tables'!$A$3:$A$8,0)),"Invalid package"))</f>
        <v/>
      </c>
      <c r="F184" s="12" t="str">
        <f aca="false">IF(D184="","",IFERROR(INDEX('Reference Tables'!$C$3:$C$8,MATCH(D184,'Reference Tables'!$A$3:$A$8,0)),"Invalid package"))</f>
        <v/>
      </c>
      <c r="G184" s="14" t="str">
        <f aca="false">IF(E184="","",'Reference Tables'!$C$14)</f>
        <v/>
      </c>
      <c r="H184" s="12" t="str">
        <f aca="false">IF(E184="","",IF(E184&gt;=150,"Yes","No"))</f>
        <v/>
      </c>
      <c r="I184" s="13" t="str">
        <f aca="false">IF(E184="","",IF(H184="Yes",E184*G184,0))</f>
        <v/>
      </c>
      <c r="J184" s="13" t="str">
        <f aca="false">IF(E184="","",E184-I184)</f>
        <v/>
      </c>
      <c r="K184" s="6"/>
      <c r="L184" s="6"/>
    </row>
    <row r="185" customFormat="false" ht="15" hidden="false" customHeight="false" outlineLevel="0" collapsed="false">
      <c r="A185" s="11"/>
      <c r="B185" s="6"/>
      <c r="C185" s="12" t="str">
        <f aca="false">IF(B185="","",IFERROR(INDEX('Silver Registry'!$B$4:$B$103,MATCH(B185,'Silver Registry'!$A$4:$A$103,0)),"Not found"))</f>
        <v/>
      </c>
      <c r="D185" s="6"/>
      <c r="E185" s="13" t="str">
        <f aca="false">IF(D185="","",IFERROR(INDEX('Reference Tables'!$B$3:$B$8,MATCH(D185,'Reference Tables'!$A$3:$A$8,0)),"Invalid package"))</f>
        <v/>
      </c>
      <c r="F185" s="12" t="str">
        <f aca="false">IF(D185="","",IFERROR(INDEX('Reference Tables'!$C$3:$C$8,MATCH(D185,'Reference Tables'!$A$3:$A$8,0)),"Invalid package"))</f>
        <v/>
      </c>
      <c r="G185" s="14" t="str">
        <f aca="false">IF(E185="","",'Reference Tables'!$C$14)</f>
        <v/>
      </c>
      <c r="H185" s="12" t="str">
        <f aca="false">IF(E185="","",IF(E185&gt;=150,"Yes","No"))</f>
        <v/>
      </c>
      <c r="I185" s="13" t="str">
        <f aca="false">IF(E185="","",IF(H185="Yes",E185*G185,0))</f>
        <v/>
      </c>
      <c r="J185" s="13" t="str">
        <f aca="false">IF(E185="","",E185-I185)</f>
        <v/>
      </c>
      <c r="K185" s="6"/>
      <c r="L185" s="6"/>
    </row>
    <row r="186" customFormat="false" ht="15" hidden="false" customHeight="false" outlineLevel="0" collapsed="false">
      <c r="A186" s="11"/>
      <c r="B186" s="6"/>
      <c r="C186" s="12" t="str">
        <f aca="false">IF(B186="","",IFERROR(INDEX('Silver Registry'!$B$4:$B$103,MATCH(B186,'Silver Registry'!$A$4:$A$103,0)),"Not found"))</f>
        <v/>
      </c>
      <c r="D186" s="6"/>
      <c r="E186" s="13" t="str">
        <f aca="false">IF(D186="","",IFERROR(INDEX('Reference Tables'!$B$3:$B$8,MATCH(D186,'Reference Tables'!$A$3:$A$8,0)),"Invalid package"))</f>
        <v/>
      </c>
      <c r="F186" s="12" t="str">
        <f aca="false">IF(D186="","",IFERROR(INDEX('Reference Tables'!$C$3:$C$8,MATCH(D186,'Reference Tables'!$A$3:$A$8,0)),"Invalid package"))</f>
        <v/>
      </c>
      <c r="G186" s="14" t="str">
        <f aca="false">IF(E186="","",'Reference Tables'!$C$14)</f>
        <v/>
      </c>
      <c r="H186" s="12" t="str">
        <f aca="false">IF(E186="","",IF(E186&gt;=150,"Yes","No"))</f>
        <v/>
      </c>
      <c r="I186" s="13" t="str">
        <f aca="false">IF(E186="","",IF(H186="Yes",E186*G186,0))</f>
        <v/>
      </c>
      <c r="J186" s="13" t="str">
        <f aca="false">IF(E186="","",E186-I186)</f>
        <v/>
      </c>
      <c r="K186" s="6"/>
      <c r="L186" s="6"/>
    </row>
    <row r="187" customFormat="false" ht="15" hidden="false" customHeight="false" outlineLevel="0" collapsed="false">
      <c r="A187" s="11"/>
      <c r="B187" s="6"/>
      <c r="C187" s="12" t="str">
        <f aca="false">IF(B187="","",IFERROR(INDEX('Silver Registry'!$B$4:$B$103,MATCH(B187,'Silver Registry'!$A$4:$A$103,0)),"Not found"))</f>
        <v/>
      </c>
      <c r="D187" s="6"/>
      <c r="E187" s="13" t="str">
        <f aca="false">IF(D187="","",IFERROR(INDEX('Reference Tables'!$B$3:$B$8,MATCH(D187,'Reference Tables'!$A$3:$A$8,0)),"Invalid package"))</f>
        <v/>
      </c>
      <c r="F187" s="12" t="str">
        <f aca="false">IF(D187="","",IFERROR(INDEX('Reference Tables'!$C$3:$C$8,MATCH(D187,'Reference Tables'!$A$3:$A$8,0)),"Invalid package"))</f>
        <v/>
      </c>
      <c r="G187" s="14" t="str">
        <f aca="false">IF(E187="","",'Reference Tables'!$C$14)</f>
        <v/>
      </c>
      <c r="H187" s="12" t="str">
        <f aca="false">IF(E187="","",IF(E187&gt;=150,"Yes","No"))</f>
        <v/>
      </c>
      <c r="I187" s="13" t="str">
        <f aca="false">IF(E187="","",IF(H187="Yes",E187*G187,0))</f>
        <v/>
      </c>
      <c r="J187" s="13" t="str">
        <f aca="false">IF(E187="","",E187-I187)</f>
        <v/>
      </c>
      <c r="K187" s="6"/>
      <c r="L187" s="6"/>
    </row>
    <row r="188" customFormat="false" ht="15" hidden="false" customHeight="false" outlineLevel="0" collapsed="false">
      <c r="A188" s="11"/>
      <c r="B188" s="6"/>
      <c r="C188" s="12" t="str">
        <f aca="false">IF(B188="","",IFERROR(INDEX('Silver Registry'!$B$4:$B$103,MATCH(B188,'Silver Registry'!$A$4:$A$103,0)),"Not found"))</f>
        <v/>
      </c>
      <c r="D188" s="6"/>
      <c r="E188" s="13" t="str">
        <f aca="false">IF(D188="","",IFERROR(INDEX('Reference Tables'!$B$3:$B$8,MATCH(D188,'Reference Tables'!$A$3:$A$8,0)),"Invalid package"))</f>
        <v/>
      </c>
      <c r="F188" s="12" t="str">
        <f aca="false">IF(D188="","",IFERROR(INDEX('Reference Tables'!$C$3:$C$8,MATCH(D188,'Reference Tables'!$A$3:$A$8,0)),"Invalid package"))</f>
        <v/>
      </c>
      <c r="G188" s="14" t="str">
        <f aca="false">IF(E188="","",'Reference Tables'!$C$14)</f>
        <v/>
      </c>
      <c r="H188" s="12" t="str">
        <f aca="false">IF(E188="","",IF(E188&gt;=150,"Yes","No"))</f>
        <v/>
      </c>
      <c r="I188" s="13" t="str">
        <f aca="false">IF(E188="","",IF(H188="Yes",E188*G188,0))</f>
        <v/>
      </c>
      <c r="J188" s="13" t="str">
        <f aca="false">IF(E188="","",E188-I188)</f>
        <v/>
      </c>
      <c r="K188" s="6"/>
      <c r="L188" s="6"/>
    </row>
    <row r="189" customFormat="false" ht="15" hidden="false" customHeight="false" outlineLevel="0" collapsed="false">
      <c r="A189" s="11"/>
      <c r="B189" s="6"/>
      <c r="C189" s="12" t="str">
        <f aca="false">IF(B189="","",IFERROR(INDEX('Silver Registry'!$B$4:$B$103,MATCH(B189,'Silver Registry'!$A$4:$A$103,0)),"Not found"))</f>
        <v/>
      </c>
      <c r="D189" s="6"/>
      <c r="E189" s="13" t="str">
        <f aca="false">IF(D189="","",IFERROR(INDEX('Reference Tables'!$B$3:$B$8,MATCH(D189,'Reference Tables'!$A$3:$A$8,0)),"Invalid package"))</f>
        <v/>
      </c>
      <c r="F189" s="12" t="str">
        <f aca="false">IF(D189="","",IFERROR(INDEX('Reference Tables'!$C$3:$C$8,MATCH(D189,'Reference Tables'!$A$3:$A$8,0)),"Invalid package"))</f>
        <v/>
      </c>
      <c r="G189" s="14" t="str">
        <f aca="false">IF(E189="","",'Reference Tables'!$C$14)</f>
        <v/>
      </c>
      <c r="H189" s="12" t="str">
        <f aca="false">IF(E189="","",IF(E189&gt;=150,"Yes","No"))</f>
        <v/>
      </c>
      <c r="I189" s="13" t="str">
        <f aca="false">IF(E189="","",IF(H189="Yes",E189*G189,0))</f>
        <v/>
      </c>
      <c r="J189" s="13" t="str">
        <f aca="false">IF(E189="","",E189-I189)</f>
        <v/>
      </c>
      <c r="K189" s="6"/>
      <c r="L189" s="6"/>
    </row>
    <row r="190" customFormat="false" ht="15" hidden="false" customHeight="false" outlineLevel="0" collapsed="false">
      <c r="A190" s="11"/>
      <c r="B190" s="6"/>
      <c r="C190" s="12" t="str">
        <f aca="false">IF(B190="","",IFERROR(INDEX('Silver Registry'!$B$4:$B$103,MATCH(B190,'Silver Registry'!$A$4:$A$103,0)),"Not found"))</f>
        <v/>
      </c>
      <c r="D190" s="6"/>
      <c r="E190" s="13" t="str">
        <f aca="false">IF(D190="","",IFERROR(INDEX('Reference Tables'!$B$3:$B$8,MATCH(D190,'Reference Tables'!$A$3:$A$8,0)),"Invalid package"))</f>
        <v/>
      </c>
      <c r="F190" s="12" t="str">
        <f aca="false">IF(D190="","",IFERROR(INDEX('Reference Tables'!$C$3:$C$8,MATCH(D190,'Reference Tables'!$A$3:$A$8,0)),"Invalid package"))</f>
        <v/>
      </c>
      <c r="G190" s="14" t="str">
        <f aca="false">IF(E190="","",'Reference Tables'!$C$14)</f>
        <v/>
      </c>
      <c r="H190" s="12" t="str">
        <f aca="false">IF(E190="","",IF(E190&gt;=150,"Yes","No"))</f>
        <v/>
      </c>
      <c r="I190" s="13" t="str">
        <f aca="false">IF(E190="","",IF(H190="Yes",E190*G190,0))</f>
        <v/>
      </c>
      <c r="J190" s="13" t="str">
        <f aca="false">IF(E190="","",E190-I190)</f>
        <v/>
      </c>
      <c r="K190" s="6"/>
      <c r="L190" s="6"/>
    </row>
    <row r="191" customFormat="false" ht="15" hidden="false" customHeight="false" outlineLevel="0" collapsed="false">
      <c r="A191" s="11"/>
      <c r="B191" s="6"/>
      <c r="C191" s="12" t="str">
        <f aca="false">IF(B191="","",IFERROR(INDEX('Silver Registry'!$B$4:$B$103,MATCH(B191,'Silver Registry'!$A$4:$A$103,0)),"Not found"))</f>
        <v/>
      </c>
      <c r="D191" s="6"/>
      <c r="E191" s="13" t="str">
        <f aca="false">IF(D191="","",IFERROR(INDEX('Reference Tables'!$B$3:$B$8,MATCH(D191,'Reference Tables'!$A$3:$A$8,0)),"Invalid package"))</f>
        <v/>
      </c>
      <c r="F191" s="12" t="str">
        <f aca="false">IF(D191="","",IFERROR(INDEX('Reference Tables'!$C$3:$C$8,MATCH(D191,'Reference Tables'!$A$3:$A$8,0)),"Invalid package"))</f>
        <v/>
      </c>
      <c r="G191" s="14" t="str">
        <f aca="false">IF(E191="","",'Reference Tables'!$C$14)</f>
        <v/>
      </c>
      <c r="H191" s="12" t="str">
        <f aca="false">IF(E191="","",IF(E191&gt;=150,"Yes","No"))</f>
        <v/>
      </c>
      <c r="I191" s="13" t="str">
        <f aca="false">IF(E191="","",IF(H191="Yes",E191*G191,0))</f>
        <v/>
      </c>
      <c r="J191" s="13" t="str">
        <f aca="false">IF(E191="","",E191-I191)</f>
        <v/>
      </c>
      <c r="K191" s="6"/>
      <c r="L191" s="6"/>
    </row>
    <row r="192" customFormat="false" ht="15" hidden="false" customHeight="false" outlineLevel="0" collapsed="false">
      <c r="A192" s="11"/>
      <c r="B192" s="6"/>
      <c r="C192" s="12" t="str">
        <f aca="false">IF(B192="","",IFERROR(INDEX('Silver Registry'!$B$4:$B$103,MATCH(B192,'Silver Registry'!$A$4:$A$103,0)),"Not found"))</f>
        <v/>
      </c>
      <c r="D192" s="6"/>
      <c r="E192" s="13" t="str">
        <f aca="false">IF(D192="","",IFERROR(INDEX('Reference Tables'!$B$3:$B$8,MATCH(D192,'Reference Tables'!$A$3:$A$8,0)),"Invalid package"))</f>
        <v/>
      </c>
      <c r="F192" s="12" t="str">
        <f aca="false">IF(D192="","",IFERROR(INDEX('Reference Tables'!$C$3:$C$8,MATCH(D192,'Reference Tables'!$A$3:$A$8,0)),"Invalid package"))</f>
        <v/>
      </c>
      <c r="G192" s="14" t="str">
        <f aca="false">IF(E192="","",'Reference Tables'!$C$14)</f>
        <v/>
      </c>
      <c r="H192" s="12" t="str">
        <f aca="false">IF(E192="","",IF(E192&gt;=150,"Yes","No"))</f>
        <v/>
      </c>
      <c r="I192" s="13" t="str">
        <f aca="false">IF(E192="","",IF(H192="Yes",E192*G192,0))</f>
        <v/>
      </c>
      <c r="J192" s="13" t="str">
        <f aca="false">IF(E192="","",E192-I192)</f>
        <v/>
      </c>
      <c r="K192" s="6"/>
      <c r="L192" s="6"/>
    </row>
    <row r="193" customFormat="false" ht="15" hidden="false" customHeight="false" outlineLevel="0" collapsed="false">
      <c r="A193" s="11"/>
      <c r="B193" s="6"/>
      <c r="C193" s="12" t="str">
        <f aca="false">IF(B193="","",IFERROR(INDEX('Silver Registry'!$B$4:$B$103,MATCH(B193,'Silver Registry'!$A$4:$A$103,0)),"Not found"))</f>
        <v/>
      </c>
      <c r="D193" s="6"/>
      <c r="E193" s="13" t="str">
        <f aca="false">IF(D193="","",IFERROR(INDEX('Reference Tables'!$B$3:$B$8,MATCH(D193,'Reference Tables'!$A$3:$A$8,0)),"Invalid package"))</f>
        <v/>
      </c>
      <c r="F193" s="12" t="str">
        <f aca="false">IF(D193="","",IFERROR(INDEX('Reference Tables'!$C$3:$C$8,MATCH(D193,'Reference Tables'!$A$3:$A$8,0)),"Invalid package"))</f>
        <v/>
      </c>
      <c r="G193" s="14" t="str">
        <f aca="false">IF(E193="","",'Reference Tables'!$C$14)</f>
        <v/>
      </c>
      <c r="H193" s="12" t="str">
        <f aca="false">IF(E193="","",IF(E193&gt;=150,"Yes","No"))</f>
        <v/>
      </c>
      <c r="I193" s="13" t="str">
        <f aca="false">IF(E193="","",IF(H193="Yes",E193*G193,0))</f>
        <v/>
      </c>
      <c r="J193" s="13" t="str">
        <f aca="false">IF(E193="","",E193-I193)</f>
        <v/>
      </c>
      <c r="K193" s="6"/>
      <c r="L193" s="6"/>
    </row>
    <row r="194" customFormat="false" ht="15" hidden="false" customHeight="false" outlineLevel="0" collapsed="false">
      <c r="A194" s="11"/>
      <c r="B194" s="6"/>
      <c r="C194" s="12" t="str">
        <f aca="false">IF(B194="","",IFERROR(INDEX('Silver Registry'!$B$4:$B$103,MATCH(B194,'Silver Registry'!$A$4:$A$103,0)),"Not found"))</f>
        <v/>
      </c>
      <c r="D194" s="6"/>
      <c r="E194" s="13" t="str">
        <f aca="false">IF(D194="","",IFERROR(INDEX('Reference Tables'!$B$3:$B$8,MATCH(D194,'Reference Tables'!$A$3:$A$8,0)),"Invalid package"))</f>
        <v/>
      </c>
      <c r="F194" s="12" t="str">
        <f aca="false">IF(D194="","",IFERROR(INDEX('Reference Tables'!$C$3:$C$8,MATCH(D194,'Reference Tables'!$A$3:$A$8,0)),"Invalid package"))</f>
        <v/>
      </c>
      <c r="G194" s="14" t="str">
        <f aca="false">IF(E194="","",'Reference Tables'!$C$14)</f>
        <v/>
      </c>
      <c r="H194" s="12" t="str">
        <f aca="false">IF(E194="","",IF(E194&gt;=150,"Yes","No"))</f>
        <v/>
      </c>
      <c r="I194" s="13" t="str">
        <f aca="false">IF(E194="","",IF(H194="Yes",E194*G194,0))</f>
        <v/>
      </c>
      <c r="J194" s="13" t="str">
        <f aca="false">IF(E194="","",E194-I194)</f>
        <v/>
      </c>
      <c r="K194" s="6"/>
      <c r="L194" s="6"/>
    </row>
    <row r="195" customFormat="false" ht="15" hidden="false" customHeight="false" outlineLevel="0" collapsed="false">
      <c r="A195" s="11"/>
      <c r="B195" s="6"/>
      <c r="C195" s="12" t="str">
        <f aca="false">IF(B195="","",IFERROR(INDEX('Silver Registry'!$B$4:$B$103,MATCH(B195,'Silver Registry'!$A$4:$A$103,0)),"Not found"))</f>
        <v/>
      </c>
      <c r="D195" s="6"/>
      <c r="E195" s="13" t="str">
        <f aca="false">IF(D195="","",IFERROR(INDEX('Reference Tables'!$B$3:$B$8,MATCH(D195,'Reference Tables'!$A$3:$A$8,0)),"Invalid package"))</f>
        <v/>
      </c>
      <c r="F195" s="12" t="str">
        <f aca="false">IF(D195="","",IFERROR(INDEX('Reference Tables'!$C$3:$C$8,MATCH(D195,'Reference Tables'!$A$3:$A$8,0)),"Invalid package"))</f>
        <v/>
      </c>
      <c r="G195" s="14" t="str">
        <f aca="false">IF(E195="","",'Reference Tables'!$C$14)</f>
        <v/>
      </c>
      <c r="H195" s="12" t="str">
        <f aca="false">IF(E195="","",IF(E195&gt;=150,"Yes","No"))</f>
        <v/>
      </c>
      <c r="I195" s="13" t="str">
        <f aca="false">IF(E195="","",IF(H195="Yes",E195*G195,0))</f>
        <v/>
      </c>
      <c r="J195" s="13" t="str">
        <f aca="false">IF(E195="","",E195-I195)</f>
        <v/>
      </c>
      <c r="K195" s="6"/>
      <c r="L195" s="6"/>
    </row>
    <row r="196" customFormat="false" ht="15" hidden="false" customHeight="false" outlineLevel="0" collapsed="false">
      <c r="A196" s="11"/>
      <c r="B196" s="6"/>
      <c r="C196" s="12" t="str">
        <f aca="false">IF(B196="","",IFERROR(INDEX('Silver Registry'!$B$4:$B$103,MATCH(B196,'Silver Registry'!$A$4:$A$103,0)),"Not found"))</f>
        <v/>
      </c>
      <c r="D196" s="6"/>
      <c r="E196" s="13" t="str">
        <f aca="false">IF(D196="","",IFERROR(INDEX('Reference Tables'!$B$3:$B$8,MATCH(D196,'Reference Tables'!$A$3:$A$8,0)),"Invalid package"))</f>
        <v/>
      </c>
      <c r="F196" s="12" t="str">
        <f aca="false">IF(D196="","",IFERROR(INDEX('Reference Tables'!$C$3:$C$8,MATCH(D196,'Reference Tables'!$A$3:$A$8,0)),"Invalid package"))</f>
        <v/>
      </c>
      <c r="G196" s="14" t="str">
        <f aca="false">IF(E196="","",'Reference Tables'!$C$14)</f>
        <v/>
      </c>
      <c r="H196" s="12" t="str">
        <f aca="false">IF(E196="","",IF(E196&gt;=150,"Yes","No"))</f>
        <v/>
      </c>
      <c r="I196" s="13" t="str">
        <f aca="false">IF(E196="","",IF(H196="Yes",E196*G196,0))</f>
        <v/>
      </c>
      <c r="J196" s="13" t="str">
        <f aca="false">IF(E196="","",E196-I196)</f>
        <v/>
      </c>
      <c r="K196" s="6"/>
      <c r="L196" s="6"/>
    </row>
    <row r="197" customFormat="false" ht="15" hidden="false" customHeight="false" outlineLevel="0" collapsed="false">
      <c r="A197" s="11"/>
      <c r="B197" s="6"/>
      <c r="C197" s="12" t="str">
        <f aca="false">IF(B197="","",IFERROR(INDEX('Silver Registry'!$B$4:$B$103,MATCH(B197,'Silver Registry'!$A$4:$A$103,0)),"Not found"))</f>
        <v/>
      </c>
      <c r="D197" s="6"/>
      <c r="E197" s="13" t="str">
        <f aca="false">IF(D197="","",IFERROR(INDEX('Reference Tables'!$B$3:$B$8,MATCH(D197,'Reference Tables'!$A$3:$A$8,0)),"Invalid package"))</f>
        <v/>
      </c>
      <c r="F197" s="12" t="str">
        <f aca="false">IF(D197="","",IFERROR(INDEX('Reference Tables'!$C$3:$C$8,MATCH(D197,'Reference Tables'!$A$3:$A$8,0)),"Invalid package"))</f>
        <v/>
      </c>
      <c r="G197" s="14" t="str">
        <f aca="false">IF(E197="","",'Reference Tables'!$C$14)</f>
        <v/>
      </c>
      <c r="H197" s="12" t="str">
        <f aca="false">IF(E197="","",IF(E197&gt;=150,"Yes","No"))</f>
        <v/>
      </c>
      <c r="I197" s="13" t="str">
        <f aca="false">IF(E197="","",IF(H197="Yes",E197*G197,0))</f>
        <v/>
      </c>
      <c r="J197" s="13" t="str">
        <f aca="false">IF(E197="","",E197-I197)</f>
        <v/>
      </c>
      <c r="K197" s="6"/>
      <c r="L197" s="6"/>
    </row>
    <row r="198" customFormat="false" ht="15" hidden="false" customHeight="false" outlineLevel="0" collapsed="false">
      <c r="A198" s="11"/>
      <c r="B198" s="6"/>
      <c r="C198" s="12" t="str">
        <f aca="false">IF(B198="","",IFERROR(INDEX('Silver Registry'!$B$4:$B$103,MATCH(B198,'Silver Registry'!$A$4:$A$103,0)),"Not found"))</f>
        <v/>
      </c>
      <c r="D198" s="6"/>
      <c r="E198" s="13" t="str">
        <f aca="false">IF(D198="","",IFERROR(INDEX('Reference Tables'!$B$3:$B$8,MATCH(D198,'Reference Tables'!$A$3:$A$8,0)),"Invalid package"))</f>
        <v/>
      </c>
      <c r="F198" s="12" t="str">
        <f aca="false">IF(D198="","",IFERROR(INDEX('Reference Tables'!$C$3:$C$8,MATCH(D198,'Reference Tables'!$A$3:$A$8,0)),"Invalid package"))</f>
        <v/>
      </c>
      <c r="G198" s="14" t="str">
        <f aca="false">IF(E198="","",'Reference Tables'!$C$14)</f>
        <v/>
      </c>
      <c r="H198" s="12" t="str">
        <f aca="false">IF(E198="","",IF(E198&gt;=150,"Yes","No"))</f>
        <v/>
      </c>
      <c r="I198" s="13" t="str">
        <f aca="false">IF(E198="","",IF(H198="Yes",E198*G198,0))</f>
        <v/>
      </c>
      <c r="J198" s="13" t="str">
        <f aca="false">IF(E198="","",E198-I198)</f>
        <v/>
      </c>
      <c r="K198" s="6"/>
      <c r="L198" s="6"/>
    </row>
    <row r="199" customFormat="false" ht="15" hidden="false" customHeight="false" outlineLevel="0" collapsed="false">
      <c r="A199" s="11"/>
      <c r="B199" s="6"/>
      <c r="C199" s="12" t="str">
        <f aca="false">IF(B199="","",IFERROR(INDEX('Silver Registry'!$B$4:$B$103,MATCH(B199,'Silver Registry'!$A$4:$A$103,0)),"Not found"))</f>
        <v/>
      </c>
      <c r="D199" s="6"/>
      <c r="E199" s="13" t="str">
        <f aca="false">IF(D199="","",IFERROR(INDEX('Reference Tables'!$B$3:$B$8,MATCH(D199,'Reference Tables'!$A$3:$A$8,0)),"Invalid package"))</f>
        <v/>
      </c>
      <c r="F199" s="12" t="str">
        <f aca="false">IF(D199="","",IFERROR(INDEX('Reference Tables'!$C$3:$C$8,MATCH(D199,'Reference Tables'!$A$3:$A$8,0)),"Invalid package"))</f>
        <v/>
      </c>
      <c r="G199" s="14" t="str">
        <f aca="false">IF(E199="","",'Reference Tables'!$C$14)</f>
        <v/>
      </c>
      <c r="H199" s="12" t="str">
        <f aca="false">IF(E199="","",IF(E199&gt;=150,"Yes","No"))</f>
        <v/>
      </c>
      <c r="I199" s="13" t="str">
        <f aca="false">IF(E199="","",IF(H199="Yes",E199*G199,0))</f>
        <v/>
      </c>
      <c r="J199" s="13" t="str">
        <f aca="false">IF(E199="","",E199-I199)</f>
        <v/>
      </c>
      <c r="K199" s="6"/>
      <c r="L199" s="6"/>
    </row>
    <row r="200" customFormat="false" ht="15" hidden="false" customHeight="false" outlineLevel="0" collapsed="false">
      <c r="A200" s="11"/>
      <c r="B200" s="6"/>
      <c r="C200" s="12" t="str">
        <f aca="false">IF(B200="","",IFERROR(INDEX('Silver Registry'!$B$4:$B$103,MATCH(B200,'Silver Registry'!$A$4:$A$103,0)),"Not found"))</f>
        <v/>
      </c>
      <c r="D200" s="6"/>
      <c r="E200" s="13" t="str">
        <f aca="false">IF(D200="","",IFERROR(INDEX('Reference Tables'!$B$3:$B$8,MATCH(D200,'Reference Tables'!$A$3:$A$8,0)),"Invalid package"))</f>
        <v/>
      </c>
      <c r="F200" s="12" t="str">
        <f aca="false">IF(D200="","",IFERROR(INDEX('Reference Tables'!$C$3:$C$8,MATCH(D200,'Reference Tables'!$A$3:$A$8,0)),"Invalid package"))</f>
        <v/>
      </c>
      <c r="G200" s="14" t="str">
        <f aca="false">IF(E200="","",'Reference Tables'!$C$14)</f>
        <v/>
      </c>
      <c r="H200" s="12" t="str">
        <f aca="false">IF(E200="","",IF(E200&gt;=150,"Yes","No"))</f>
        <v/>
      </c>
      <c r="I200" s="13" t="str">
        <f aca="false">IF(E200="","",IF(H200="Yes",E200*G200,0))</f>
        <v/>
      </c>
      <c r="J200" s="13" t="str">
        <f aca="false">IF(E200="","",E200-I200)</f>
        <v/>
      </c>
      <c r="K200" s="6"/>
      <c r="L200" s="6"/>
    </row>
    <row r="201" customFormat="false" ht="15" hidden="false" customHeight="false" outlineLevel="0" collapsed="false">
      <c r="A201" s="11"/>
      <c r="B201" s="6"/>
      <c r="C201" s="12" t="str">
        <f aca="false">IF(B201="","",IFERROR(INDEX('Silver Registry'!$B$4:$B$103,MATCH(B201,'Silver Registry'!$A$4:$A$103,0)),"Not found"))</f>
        <v/>
      </c>
      <c r="D201" s="6"/>
      <c r="E201" s="13" t="str">
        <f aca="false">IF(D201="","",IFERROR(INDEX('Reference Tables'!$B$3:$B$8,MATCH(D201,'Reference Tables'!$A$3:$A$8,0)),"Invalid package"))</f>
        <v/>
      </c>
      <c r="F201" s="12" t="str">
        <f aca="false">IF(D201="","",IFERROR(INDEX('Reference Tables'!$C$3:$C$8,MATCH(D201,'Reference Tables'!$A$3:$A$8,0)),"Invalid package"))</f>
        <v/>
      </c>
      <c r="G201" s="14" t="str">
        <f aca="false">IF(E201="","",'Reference Tables'!$C$14)</f>
        <v/>
      </c>
      <c r="H201" s="12" t="str">
        <f aca="false">IF(E201="","",IF(E201&gt;=150,"Yes","No"))</f>
        <v/>
      </c>
      <c r="I201" s="13" t="str">
        <f aca="false">IF(E201="","",IF(H201="Yes",E201*G201,0))</f>
        <v/>
      </c>
      <c r="J201" s="13" t="str">
        <f aca="false">IF(E201="","",E201-I201)</f>
        <v/>
      </c>
      <c r="K201" s="6"/>
      <c r="L201" s="6"/>
    </row>
    <row r="202" customFormat="false" ht="15" hidden="false" customHeight="false" outlineLevel="0" collapsed="false">
      <c r="A202" s="11"/>
      <c r="B202" s="6"/>
      <c r="C202" s="12" t="str">
        <f aca="false">IF(B202="","",IFERROR(INDEX('Silver Registry'!$B$4:$B$103,MATCH(B202,'Silver Registry'!$A$4:$A$103,0)),"Not found"))</f>
        <v/>
      </c>
      <c r="D202" s="6"/>
      <c r="E202" s="13" t="str">
        <f aca="false">IF(D202="","",IFERROR(INDEX('Reference Tables'!$B$3:$B$8,MATCH(D202,'Reference Tables'!$A$3:$A$8,0)),"Invalid package"))</f>
        <v/>
      </c>
      <c r="F202" s="12" t="str">
        <f aca="false">IF(D202="","",IFERROR(INDEX('Reference Tables'!$C$3:$C$8,MATCH(D202,'Reference Tables'!$A$3:$A$8,0)),"Invalid package"))</f>
        <v/>
      </c>
      <c r="G202" s="14" t="str">
        <f aca="false">IF(E202="","",'Reference Tables'!$C$14)</f>
        <v/>
      </c>
      <c r="H202" s="12" t="str">
        <f aca="false">IF(E202="","",IF(E202&gt;=150,"Yes","No"))</f>
        <v/>
      </c>
      <c r="I202" s="13" t="str">
        <f aca="false">IF(E202="","",IF(H202="Yes",E202*G202,0))</f>
        <v/>
      </c>
      <c r="J202" s="13" t="str">
        <f aca="false">IF(E202="","",E202-I202)</f>
        <v/>
      </c>
      <c r="K202" s="6"/>
      <c r="L202" s="6"/>
    </row>
    <row r="203" customFormat="false" ht="15" hidden="false" customHeight="false" outlineLevel="0" collapsed="false">
      <c r="A203" s="11"/>
      <c r="B203" s="6"/>
      <c r="C203" s="12" t="str">
        <f aca="false">IF(B203="","",IFERROR(INDEX('Silver Registry'!$B$4:$B$103,MATCH(B203,'Silver Registry'!$A$4:$A$103,0)),"Not found"))</f>
        <v/>
      </c>
      <c r="D203" s="6"/>
      <c r="E203" s="13" t="str">
        <f aca="false">IF(D203="","",IFERROR(INDEX('Reference Tables'!$B$3:$B$8,MATCH(D203,'Reference Tables'!$A$3:$A$8,0)),"Invalid package"))</f>
        <v/>
      </c>
      <c r="F203" s="12" t="str">
        <f aca="false">IF(D203="","",IFERROR(INDEX('Reference Tables'!$C$3:$C$8,MATCH(D203,'Reference Tables'!$A$3:$A$8,0)),"Invalid package"))</f>
        <v/>
      </c>
      <c r="G203" s="14" t="str">
        <f aca="false">IF(E203="","",'Reference Tables'!$C$14)</f>
        <v/>
      </c>
      <c r="H203" s="12" t="str">
        <f aca="false">IF(E203="","",IF(E203&gt;=150,"Yes","No"))</f>
        <v/>
      </c>
      <c r="I203" s="13" t="str">
        <f aca="false">IF(E203="","",IF(H203="Yes",E203*G203,0))</f>
        <v/>
      </c>
      <c r="J203" s="13" t="str">
        <f aca="false">IF(E203="","",E203-I203)</f>
        <v/>
      </c>
      <c r="K203" s="6"/>
      <c r="L203" s="6"/>
    </row>
    <row r="204" customFormat="false" ht="15" hidden="false" customHeight="false" outlineLevel="0" collapsed="false">
      <c r="A204" s="11"/>
      <c r="B204" s="6"/>
      <c r="C204" s="12" t="str">
        <f aca="false">IF(B204="","",IFERROR(INDEX('Silver Registry'!$B$4:$B$103,MATCH(B204,'Silver Registry'!$A$4:$A$103,0)),"Not found"))</f>
        <v/>
      </c>
      <c r="D204" s="6"/>
      <c r="E204" s="13" t="str">
        <f aca="false">IF(D204="","",IFERROR(INDEX('Reference Tables'!$B$3:$B$8,MATCH(D204,'Reference Tables'!$A$3:$A$8,0)),"Invalid package"))</f>
        <v/>
      </c>
      <c r="F204" s="12" t="str">
        <f aca="false">IF(D204="","",IFERROR(INDEX('Reference Tables'!$C$3:$C$8,MATCH(D204,'Reference Tables'!$A$3:$A$8,0)),"Invalid package"))</f>
        <v/>
      </c>
      <c r="G204" s="14" t="str">
        <f aca="false">IF(E204="","",'Reference Tables'!$C$14)</f>
        <v/>
      </c>
      <c r="H204" s="12" t="str">
        <f aca="false">IF(E204="","",IF(E204&gt;=150,"Yes","No"))</f>
        <v/>
      </c>
      <c r="I204" s="13" t="str">
        <f aca="false">IF(E204="","",IF(H204="Yes",E204*G204,0))</f>
        <v/>
      </c>
      <c r="J204" s="13" t="str">
        <f aca="false">IF(E204="","",E204-I204)</f>
        <v/>
      </c>
      <c r="K204" s="6"/>
      <c r="L204" s="6"/>
    </row>
    <row r="205" customFormat="false" ht="15" hidden="false" customHeight="false" outlineLevel="0" collapsed="false">
      <c r="A205" s="11"/>
      <c r="B205" s="6"/>
      <c r="C205" s="12" t="str">
        <f aca="false">IF(B205="","",IFERROR(INDEX('Silver Registry'!$B$4:$B$103,MATCH(B205,'Silver Registry'!$A$4:$A$103,0)),"Not found"))</f>
        <v/>
      </c>
      <c r="D205" s="6"/>
      <c r="E205" s="13" t="str">
        <f aca="false">IF(D205="","",IFERROR(INDEX('Reference Tables'!$B$3:$B$8,MATCH(D205,'Reference Tables'!$A$3:$A$8,0)),"Invalid package"))</f>
        <v/>
      </c>
      <c r="F205" s="12" t="str">
        <f aca="false">IF(D205="","",IFERROR(INDEX('Reference Tables'!$C$3:$C$8,MATCH(D205,'Reference Tables'!$A$3:$A$8,0)),"Invalid package"))</f>
        <v/>
      </c>
      <c r="G205" s="14" t="str">
        <f aca="false">IF(E205="","",'Reference Tables'!$C$14)</f>
        <v/>
      </c>
      <c r="H205" s="12" t="str">
        <f aca="false">IF(E205="","",IF(E205&gt;=150,"Yes","No"))</f>
        <v/>
      </c>
      <c r="I205" s="13" t="str">
        <f aca="false">IF(E205="","",IF(H205="Yes",E205*G205,0))</f>
        <v/>
      </c>
      <c r="J205" s="13" t="str">
        <f aca="false">IF(E205="","",E205-I205)</f>
        <v/>
      </c>
      <c r="K205" s="6"/>
      <c r="L205" s="6"/>
    </row>
    <row r="206" customFormat="false" ht="15" hidden="false" customHeight="false" outlineLevel="0" collapsed="false">
      <c r="A206" s="11"/>
      <c r="B206" s="6"/>
      <c r="C206" s="12" t="str">
        <f aca="false">IF(B206="","",IFERROR(INDEX('Silver Registry'!$B$4:$B$103,MATCH(B206,'Silver Registry'!$A$4:$A$103,0)),"Not found"))</f>
        <v/>
      </c>
      <c r="D206" s="6"/>
      <c r="E206" s="13" t="str">
        <f aca="false">IF(D206="","",IFERROR(INDEX('Reference Tables'!$B$3:$B$8,MATCH(D206,'Reference Tables'!$A$3:$A$8,0)),"Invalid package"))</f>
        <v/>
      </c>
      <c r="F206" s="12" t="str">
        <f aca="false">IF(D206="","",IFERROR(INDEX('Reference Tables'!$C$3:$C$8,MATCH(D206,'Reference Tables'!$A$3:$A$8,0)),"Invalid package"))</f>
        <v/>
      </c>
      <c r="G206" s="14" t="str">
        <f aca="false">IF(E206="","",'Reference Tables'!$C$14)</f>
        <v/>
      </c>
      <c r="H206" s="12" t="str">
        <f aca="false">IF(E206="","",IF(E206&gt;=150,"Yes","No"))</f>
        <v/>
      </c>
      <c r="I206" s="13" t="str">
        <f aca="false">IF(E206="","",IF(H206="Yes",E206*G206,0))</f>
        <v/>
      </c>
      <c r="J206" s="13" t="str">
        <f aca="false">IF(E206="","",E206-I206)</f>
        <v/>
      </c>
      <c r="K206" s="6"/>
      <c r="L206" s="6"/>
    </row>
    <row r="207" customFormat="false" ht="15" hidden="false" customHeight="false" outlineLevel="0" collapsed="false">
      <c r="A207" s="11"/>
      <c r="B207" s="6"/>
      <c r="C207" s="12" t="str">
        <f aca="false">IF(B207="","",IFERROR(INDEX('Silver Registry'!$B$4:$B$103,MATCH(B207,'Silver Registry'!$A$4:$A$103,0)),"Not found"))</f>
        <v/>
      </c>
      <c r="D207" s="6"/>
      <c r="E207" s="13" t="str">
        <f aca="false">IF(D207="","",IFERROR(INDEX('Reference Tables'!$B$3:$B$8,MATCH(D207,'Reference Tables'!$A$3:$A$8,0)),"Invalid package"))</f>
        <v/>
      </c>
      <c r="F207" s="12" t="str">
        <f aca="false">IF(D207="","",IFERROR(INDEX('Reference Tables'!$C$3:$C$8,MATCH(D207,'Reference Tables'!$A$3:$A$8,0)),"Invalid package"))</f>
        <v/>
      </c>
      <c r="G207" s="14" t="str">
        <f aca="false">IF(E207="","",'Reference Tables'!$C$14)</f>
        <v/>
      </c>
      <c r="H207" s="12" t="str">
        <f aca="false">IF(E207="","",IF(E207&gt;=150,"Yes","No"))</f>
        <v/>
      </c>
      <c r="I207" s="13" t="str">
        <f aca="false">IF(E207="","",IF(H207="Yes",E207*G207,0))</f>
        <v/>
      </c>
      <c r="J207" s="13" t="str">
        <f aca="false">IF(E207="","",E207-I207)</f>
        <v/>
      </c>
      <c r="K207" s="6"/>
      <c r="L207" s="6"/>
    </row>
    <row r="208" customFormat="false" ht="15" hidden="false" customHeight="false" outlineLevel="0" collapsed="false">
      <c r="A208" s="11"/>
      <c r="B208" s="6"/>
      <c r="C208" s="12" t="str">
        <f aca="false">IF(B208="","",IFERROR(INDEX('Silver Registry'!$B$4:$B$103,MATCH(B208,'Silver Registry'!$A$4:$A$103,0)),"Not found"))</f>
        <v/>
      </c>
      <c r="D208" s="6"/>
      <c r="E208" s="13" t="str">
        <f aca="false">IF(D208="","",IFERROR(INDEX('Reference Tables'!$B$3:$B$8,MATCH(D208,'Reference Tables'!$A$3:$A$8,0)),"Invalid package"))</f>
        <v/>
      </c>
      <c r="F208" s="12" t="str">
        <f aca="false">IF(D208="","",IFERROR(INDEX('Reference Tables'!$C$3:$C$8,MATCH(D208,'Reference Tables'!$A$3:$A$8,0)),"Invalid package"))</f>
        <v/>
      </c>
      <c r="G208" s="14" t="str">
        <f aca="false">IF(E208="","",'Reference Tables'!$C$14)</f>
        <v/>
      </c>
      <c r="H208" s="12" t="str">
        <f aca="false">IF(E208="","",IF(E208&gt;=150,"Yes","No"))</f>
        <v/>
      </c>
      <c r="I208" s="13" t="str">
        <f aca="false">IF(E208="","",IF(H208="Yes",E208*G208,0))</f>
        <v/>
      </c>
      <c r="J208" s="13" t="str">
        <f aca="false">IF(E208="","",E208-I208)</f>
        <v/>
      </c>
      <c r="K208" s="6"/>
      <c r="L208" s="6"/>
    </row>
    <row r="209" customFormat="false" ht="15" hidden="false" customHeight="false" outlineLevel="0" collapsed="false">
      <c r="A209" s="11"/>
      <c r="B209" s="6"/>
      <c r="C209" s="12" t="str">
        <f aca="false">IF(B209="","",IFERROR(INDEX('Silver Registry'!$B$4:$B$103,MATCH(B209,'Silver Registry'!$A$4:$A$103,0)),"Not found"))</f>
        <v/>
      </c>
      <c r="D209" s="6"/>
      <c r="E209" s="13" t="str">
        <f aca="false">IF(D209="","",IFERROR(INDEX('Reference Tables'!$B$3:$B$8,MATCH(D209,'Reference Tables'!$A$3:$A$8,0)),"Invalid package"))</f>
        <v/>
      </c>
      <c r="F209" s="12" t="str">
        <f aca="false">IF(D209="","",IFERROR(INDEX('Reference Tables'!$C$3:$C$8,MATCH(D209,'Reference Tables'!$A$3:$A$8,0)),"Invalid package"))</f>
        <v/>
      </c>
      <c r="G209" s="14" t="str">
        <f aca="false">IF(E209="","",'Reference Tables'!$C$14)</f>
        <v/>
      </c>
      <c r="H209" s="12" t="str">
        <f aca="false">IF(E209="","",IF(E209&gt;=150,"Yes","No"))</f>
        <v/>
      </c>
      <c r="I209" s="13" t="str">
        <f aca="false">IF(E209="","",IF(H209="Yes",E209*G209,0))</f>
        <v/>
      </c>
      <c r="J209" s="13" t="str">
        <f aca="false">IF(E209="","",E209-I209)</f>
        <v/>
      </c>
      <c r="K209" s="6"/>
      <c r="L209" s="6"/>
    </row>
    <row r="210" customFormat="false" ht="15" hidden="false" customHeight="false" outlineLevel="0" collapsed="false">
      <c r="A210" s="11"/>
      <c r="B210" s="6"/>
      <c r="C210" s="12" t="str">
        <f aca="false">IF(B210="","",IFERROR(INDEX('Silver Registry'!$B$4:$B$103,MATCH(B210,'Silver Registry'!$A$4:$A$103,0)),"Not found"))</f>
        <v/>
      </c>
      <c r="D210" s="6"/>
      <c r="E210" s="13" t="str">
        <f aca="false">IF(D210="","",IFERROR(INDEX('Reference Tables'!$B$3:$B$8,MATCH(D210,'Reference Tables'!$A$3:$A$8,0)),"Invalid package"))</f>
        <v/>
      </c>
      <c r="F210" s="12" t="str">
        <f aca="false">IF(D210="","",IFERROR(INDEX('Reference Tables'!$C$3:$C$8,MATCH(D210,'Reference Tables'!$A$3:$A$8,0)),"Invalid package"))</f>
        <v/>
      </c>
      <c r="G210" s="14" t="str">
        <f aca="false">IF(E210="","",'Reference Tables'!$C$14)</f>
        <v/>
      </c>
      <c r="H210" s="12" t="str">
        <f aca="false">IF(E210="","",IF(E210&gt;=150,"Yes","No"))</f>
        <v/>
      </c>
      <c r="I210" s="13" t="str">
        <f aca="false">IF(E210="","",IF(H210="Yes",E210*G210,0))</f>
        <v/>
      </c>
      <c r="J210" s="13" t="str">
        <f aca="false">IF(E210="","",E210-I210)</f>
        <v/>
      </c>
      <c r="K210" s="6"/>
      <c r="L210" s="6"/>
    </row>
    <row r="211" customFormat="false" ht="15" hidden="false" customHeight="false" outlineLevel="0" collapsed="false">
      <c r="A211" s="11"/>
      <c r="B211" s="6"/>
      <c r="C211" s="12" t="str">
        <f aca="false">IF(B211="","",IFERROR(INDEX('Silver Registry'!$B$4:$B$103,MATCH(B211,'Silver Registry'!$A$4:$A$103,0)),"Not found"))</f>
        <v/>
      </c>
      <c r="D211" s="6"/>
      <c r="E211" s="13" t="str">
        <f aca="false">IF(D211="","",IFERROR(INDEX('Reference Tables'!$B$3:$B$8,MATCH(D211,'Reference Tables'!$A$3:$A$8,0)),"Invalid package"))</f>
        <v/>
      </c>
      <c r="F211" s="12" t="str">
        <f aca="false">IF(D211="","",IFERROR(INDEX('Reference Tables'!$C$3:$C$8,MATCH(D211,'Reference Tables'!$A$3:$A$8,0)),"Invalid package"))</f>
        <v/>
      </c>
      <c r="G211" s="14" t="str">
        <f aca="false">IF(E211="","",'Reference Tables'!$C$14)</f>
        <v/>
      </c>
      <c r="H211" s="12" t="str">
        <f aca="false">IF(E211="","",IF(E211&gt;=150,"Yes","No"))</f>
        <v/>
      </c>
      <c r="I211" s="13" t="str">
        <f aca="false">IF(E211="","",IF(H211="Yes",E211*G211,0))</f>
        <v/>
      </c>
      <c r="J211" s="13" t="str">
        <f aca="false">IF(E211="","",E211-I211)</f>
        <v/>
      </c>
      <c r="K211" s="6"/>
      <c r="L211" s="6"/>
    </row>
    <row r="212" customFormat="false" ht="15" hidden="false" customHeight="false" outlineLevel="0" collapsed="false">
      <c r="A212" s="11"/>
      <c r="B212" s="6"/>
      <c r="C212" s="12" t="str">
        <f aca="false">IF(B212="","",IFERROR(INDEX('Silver Registry'!$B$4:$B$103,MATCH(B212,'Silver Registry'!$A$4:$A$103,0)),"Not found"))</f>
        <v/>
      </c>
      <c r="D212" s="6"/>
      <c r="E212" s="13" t="str">
        <f aca="false">IF(D212="","",IFERROR(INDEX('Reference Tables'!$B$3:$B$8,MATCH(D212,'Reference Tables'!$A$3:$A$8,0)),"Invalid package"))</f>
        <v/>
      </c>
      <c r="F212" s="12" t="str">
        <f aca="false">IF(D212="","",IFERROR(INDEX('Reference Tables'!$C$3:$C$8,MATCH(D212,'Reference Tables'!$A$3:$A$8,0)),"Invalid package"))</f>
        <v/>
      </c>
      <c r="G212" s="14" t="str">
        <f aca="false">IF(E212="","",'Reference Tables'!$C$14)</f>
        <v/>
      </c>
      <c r="H212" s="12" t="str">
        <f aca="false">IF(E212="","",IF(E212&gt;=150,"Yes","No"))</f>
        <v/>
      </c>
      <c r="I212" s="13" t="str">
        <f aca="false">IF(E212="","",IF(H212="Yes",E212*G212,0))</f>
        <v/>
      </c>
      <c r="J212" s="13" t="str">
        <f aca="false">IF(E212="","",E212-I212)</f>
        <v/>
      </c>
      <c r="K212" s="6"/>
      <c r="L212" s="6"/>
    </row>
    <row r="213" customFormat="false" ht="15" hidden="false" customHeight="false" outlineLevel="0" collapsed="false">
      <c r="A213" s="11"/>
      <c r="B213" s="6"/>
      <c r="C213" s="12" t="str">
        <f aca="false">IF(B213="","",IFERROR(INDEX('Silver Registry'!$B$4:$B$103,MATCH(B213,'Silver Registry'!$A$4:$A$103,0)),"Not found"))</f>
        <v/>
      </c>
      <c r="D213" s="6"/>
      <c r="E213" s="13" t="str">
        <f aca="false">IF(D213="","",IFERROR(INDEX('Reference Tables'!$B$3:$B$8,MATCH(D213,'Reference Tables'!$A$3:$A$8,0)),"Invalid package"))</f>
        <v/>
      </c>
      <c r="F213" s="12" t="str">
        <f aca="false">IF(D213="","",IFERROR(INDEX('Reference Tables'!$C$3:$C$8,MATCH(D213,'Reference Tables'!$A$3:$A$8,0)),"Invalid package"))</f>
        <v/>
      </c>
      <c r="G213" s="14" t="str">
        <f aca="false">IF(E213="","",'Reference Tables'!$C$14)</f>
        <v/>
      </c>
      <c r="H213" s="12" t="str">
        <f aca="false">IF(E213="","",IF(E213&gt;=150,"Yes","No"))</f>
        <v/>
      </c>
      <c r="I213" s="13" t="str">
        <f aca="false">IF(E213="","",IF(H213="Yes",E213*G213,0))</f>
        <v/>
      </c>
      <c r="J213" s="13" t="str">
        <f aca="false">IF(E213="","",E213-I213)</f>
        <v/>
      </c>
      <c r="K213" s="6"/>
      <c r="L213" s="6"/>
    </row>
    <row r="214" customFormat="false" ht="15" hidden="false" customHeight="false" outlineLevel="0" collapsed="false">
      <c r="A214" s="11"/>
      <c r="B214" s="6"/>
      <c r="C214" s="12" t="str">
        <f aca="false">IF(B214="","",IFERROR(INDEX('Silver Registry'!$B$4:$B$103,MATCH(B214,'Silver Registry'!$A$4:$A$103,0)),"Not found"))</f>
        <v/>
      </c>
      <c r="D214" s="6"/>
      <c r="E214" s="13" t="str">
        <f aca="false">IF(D214="","",IFERROR(INDEX('Reference Tables'!$B$3:$B$8,MATCH(D214,'Reference Tables'!$A$3:$A$8,0)),"Invalid package"))</f>
        <v/>
      </c>
      <c r="F214" s="12" t="str">
        <f aca="false">IF(D214="","",IFERROR(INDEX('Reference Tables'!$C$3:$C$8,MATCH(D214,'Reference Tables'!$A$3:$A$8,0)),"Invalid package"))</f>
        <v/>
      </c>
      <c r="G214" s="14" t="str">
        <f aca="false">IF(E214="","",'Reference Tables'!$C$14)</f>
        <v/>
      </c>
      <c r="H214" s="12" t="str">
        <f aca="false">IF(E214="","",IF(E214&gt;=150,"Yes","No"))</f>
        <v/>
      </c>
      <c r="I214" s="13" t="str">
        <f aca="false">IF(E214="","",IF(H214="Yes",E214*G214,0))</f>
        <v/>
      </c>
      <c r="J214" s="13" t="str">
        <f aca="false">IF(E214="","",E214-I214)</f>
        <v/>
      </c>
      <c r="K214" s="6"/>
      <c r="L214" s="6"/>
    </row>
    <row r="215" customFormat="false" ht="15" hidden="false" customHeight="false" outlineLevel="0" collapsed="false">
      <c r="A215" s="11"/>
      <c r="B215" s="6"/>
      <c r="C215" s="12" t="str">
        <f aca="false">IF(B215="","",IFERROR(INDEX('Silver Registry'!$B$4:$B$103,MATCH(B215,'Silver Registry'!$A$4:$A$103,0)),"Not found"))</f>
        <v/>
      </c>
      <c r="D215" s="6"/>
      <c r="E215" s="13" t="str">
        <f aca="false">IF(D215="","",IFERROR(INDEX('Reference Tables'!$B$3:$B$8,MATCH(D215,'Reference Tables'!$A$3:$A$8,0)),"Invalid package"))</f>
        <v/>
      </c>
      <c r="F215" s="12" t="str">
        <f aca="false">IF(D215="","",IFERROR(INDEX('Reference Tables'!$C$3:$C$8,MATCH(D215,'Reference Tables'!$A$3:$A$8,0)),"Invalid package"))</f>
        <v/>
      </c>
      <c r="G215" s="14" t="str">
        <f aca="false">IF(E215="","",'Reference Tables'!$C$14)</f>
        <v/>
      </c>
      <c r="H215" s="12" t="str">
        <f aca="false">IF(E215="","",IF(E215&gt;=150,"Yes","No"))</f>
        <v/>
      </c>
      <c r="I215" s="13" t="str">
        <f aca="false">IF(E215="","",IF(H215="Yes",E215*G215,0))</f>
        <v/>
      </c>
      <c r="J215" s="13" t="str">
        <f aca="false">IF(E215="","",E215-I215)</f>
        <v/>
      </c>
      <c r="K215" s="6"/>
      <c r="L215" s="6"/>
    </row>
    <row r="216" customFormat="false" ht="15" hidden="false" customHeight="false" outlineLevel="0" collapsed="false">
      <c r="A216" s="11"/>
      <c r="B216" s="6"/>
      <c r="C216" s="12" t="str">
        <f aca="false">IF(B216="","",IFERROR(INDEX('Silver Registry'!$B$4:$B$103,MATCH(B216,'Silver Registry'!$A$4:$A$103,0)),"Not found"))</f>
        <v/>
      </c>
      <c r="D216" s="6"/>
      <c r="E216" s="13" t="str">
        <f aca="false">IF(D216="","",IFERROR(INDEX('Reference Tables'!$B$3:$B$8,MATCH(D216,'Reference Tables'!$A$3:$A$8,0)),"Invalid package"))</f>
        <v/>
      </c>
      <c r="F216" s="12" t="str">
        <f aca="false">IF(D216="","",IFERROR(INDEX('Reference Tables'!$C$3:$C$8,MATCH(D216,'Reference Tables'!$A$3:$A$8,0)),"Invalid package"))</f>
        <v/>
      </c>
      <c r="G216" s="14" t="str">
        <f aca="false">IF(E216="","",'Reference Tables'!$C$14)</f>
        <v/>
      </c>
      <c r="H216" s="12" t="str">
        <f aca="false">IF(E216="","",IF(E216&gt;=150,"Yes","No"))</f>
        <v/>
      </c>
      <c r="I216" s="13" t="str">
        <f aca="false">IF(E216="","",IF(H216="Yes",E216*G216,0))</f>
        <v/>
      </c>
      <c r="J216" s="13" t="str">
        <f aca="false">IF(E216="","",E216-I216)</f>
        <v/>
      </c>
      <c r="K216" s="6"/>
      <c r="L216" s="6"/>
    </row>
    <row r="217" customFormat="false" ht="15" hidden="false" customHeight="false" outlineLevel="0" collapsed="false">
      <c r="A217" s="11"/>
      <c r="B217" s="6"/>
      <c r="C217" s="12" t="str">
        <f aca="false">IF(B217="","",IFERROR(INDEX('Silver Registry'!$B$4:$B$103,MATCH(B217,'Silver Registry'!$A$4:$A$103,0)),"Not found"))</f>
        <v/>
      </c>
      <c r="D217" s="6"/>
      <c r="E217" s="13" t="str">
        <f aca="false">IF(D217="","",IFERROR(INDEX('Reference Tables'!$B$3:$B$8,MATCH(D217,'Reference Tables'!$A$3:$A$8,0)),"Invalid package"))</f>
        <v/>
      </c>
      <c r="F217" s="12" t="str">
        <f aca="false">IF(D217="","",IFERROR(INDEX('Reference Tables'!$C$3:$C$8,MATCH(D217,'Reference Tables'!$A$3:$A$8,0)),"Invalid package"))</f>
        <v/>
      </c>
      <c r="G217" s="14" t="str">
        <f aca="false">IF(E217="","",'Reference Tables'!$C$14)</f>
        <v/>
      </c>
      <c r="H217" s="12" t="str">
        <f aca="false">IF(E217="","",IF(E217&gt;=150,"Yes","No"))</f>
        <v/>
      </c>
      <c r="I217" s="13" t="str">
        <f aca="false">IF(E217="","",IF(H217="Yes",E217*G217,0))</f>
        <v/>
      </c>
      <c r="J217" s="13" t="str">
        <f aca="false">IF(E217="","",E217-I217)</f>
        <v/>
      </c>
      <c r="K217" s="6"/>
      <c r="L217" s="6"/>
    </row>
    <row r="218" customFormat="false" ht="15" hidden="false" customHeight="false" outlineLevel="0" collapsed="false">
      <c r="A218" s="11"/>
      <c r="B218" s="6"/>
      <c r="C218" s="12" t="str">
        <f aca="false">IF(B218="","",IFERROR(INDEX('Silver Registry'!$B$4:$B$103,MATCH(B218,'Silver Registry'!$A$4:$A$103,0)),"Not found"))</f>
        <v/>
      </c>
      <c r="D218" s="6"/>
      <c r="E218" s="13" t="str">
        <f aca="false">IF(D218="","",IFERROR(INDEX('Reference Tables'!$B$3:$B$8,MATCH(D218,'Reference Tables'!$A$3:$A$8,0)),"Invalid package"))</f>
        <v/>
      </c>
      <c r="F218" s="12" t="str">
        <f aca="false">IF(D218="","",IFERROR(INDEX('Reference Tables'!$C$3:$C$8,MATCH(D218,'Reference Tables'!$A$3:$A$8,0)),"Invalid package"))</f>
        <v/>
      </c>
      <c r="G218" s="14" t="str">
        <f aca="false">IF(E218="","",'Reference Tables'!$C$14)</f>
        <v/>
      </c>
      <c r="H218" s="12" t="str">
        <f aca="false">IF(E218="","",IF(E218&gt;=150,"Yes","No"))</f>
        <v/>
      </c>
      <c r="I218" s="13" t="str">
        <f aca="false">IF(E218="","",IF(H218="Yes",E218*G218,0))</f>
        <v/>
      </c>
      <c r="J218" s="13" t="str">
        <f aca="false">IF(E218="","",E218-I218)</f>
        <v/>
      </c>
      <c r="K218" s="6"/>
      <c r="L218" s="6"/>
    </row>
    <row r="219" customFormat="false" ht="15" hidden="false" customHeight="false" outlineLevel="0" collapsed="false">
      <c r="A219" s="11"/>
      <c r="B219" s="6"/>
      <c r="C219" s="12" t="str">
        <f aca="false">IF(B219="","",IFERROR(INDEX('Silver Registry'!$B$4:$B$103,MATCH(B219,'Silver Registry'!$A$4:$A$103,0)),"Not found"))</f>
        <v/>
      </c>
      <c r="D219" s="6"/>
      <c r="E219" s="13" t="str">
        <f aca="false">IF(D219="","",IFERROR(INDEX('Reference Tables'!$B$3:$B$8,MATCH(D219,'Reference Tables'!$A$3:$A$8,0)),"Invalid package"))</f>
        <v/>
      </c>
      <c r="F219" s="12" t="str">
        <f aca="false">IF(D219="","",IFERROR(INDEX('Reference Tables'!$C$3:$C$8,MATCH(D219,'Reference Tables'!$A$3:$A$8,0)),"Invalid package"))</f>
        <v/>
      </c>
      <c r="G219" s="14" t="str">
        <f aca="false">IF(E219="","",'Reference Tables'!$C$14)</f>
        <v/>
      </c>
      <c r="H219" s="12" t="str">
        <f aca="false">IF(E219="","",IF(E219&gt;=150,"Yes","No"))</f>
        <v/>
      </c>
      <c r="I219" s="13" t="str">
        <f aca="false">IF(E219="","",IF(H219="Yes",E219*G219,0))</f>
        <v/>
      </c>
      <c r="J219" s="13" t="str">
        <f aca="false">IF(E219="","",E219-I219)</f>
        <v/>
      </c>
      <c r="K219" s="6"/>
      <c r="L219" s="6"/>
    </row>
    <row r="220" customFormat="false" ht="15" hidden="false" customHeight="false" outlineLevel="0" collapsed="false">
      <c r="A220" s="11"/>
      <c r="B220" s="6"/>
      <c r="C220" s="12" t="str">
        <f aca="false">IF(B220="","",IFERROR(INDEX('Silver Registry'!$B$4:$B$103,MATCH(B220,'Silver Registry'!$A$4:$A$103,0)),"Not found"))</f>
        <v/>
      </c>
      <c r="D220" s="6"/>
      <c r="E220" s="13" t="str">
        <f aca="false">IF(D220="","",IFERROR(INDEX('Reference Tables'!$B$3:$B$8,MATCH(D220,'Reference Tables'!$A$3:$A$8,0)),"Invalid package"))</f>
        <v/>
      </c>
      <c r="F220" s="12" t="str">
        <f aca="false">IF(D220="","",IFERROR(INDEX('Reference Tables'!$C$3:$C$8,MATCH(D220,'Reference Tables'!$A$3:$A$8,0)),"Invalid package"))</f>
        <v/>
      </c>
      <c r="G220" s="14" t="str">
        <f aca="false">IF(E220="","",'Reference Tables'!$C$14)</f>
        <v/>
      </c>
      <c r="H220" s="12" t="str">
        <f aca="false">IF(E220="","",IF(E220&gt;=150,"Yes","No"))</f>
        <v/>
      </c>
      <c r="I220" s="13" t="str">
        <f aca="false">IF(E220="","",IF(H220="Yes",E220*G220,0))</f>
        <v/>
      </c>
      <c r="J220" s="13" t="str">
        <f aca="false">IF(E220="","",E220-I220)</f>
        <v/>
      </c>
      <c r="K220" s="6"/>
      <c r="L220" s="6"/>
    </row>
    <row r="221" customFormat="false" ht="15" hidden="false" customHeight="false" outlineLevel="0" collapsed="false">
      <c r="A221" s="11"/>
      <c r="B221" s="6"/>
      <c r="C221" s="12" t="str">
        <f aca="false">IF(B221="","",IFERROR(INDEX('Silver Registry'!$B$4:$B$103,MATCH(B221,'Silver Registry'!$A$4:$A$103,0)),"Not found"))</f>
        <v/>
      </c>
      <c r="D221" s="6"/>
      <c r="E221" s="13" t="str">
        <f aca="false">IF(D221="","",IFERROR(INDEX('Reference Tables'!$B$3:$B$8,MATCH(D221,'Reference Tables'!$A$3:$A$8,0)),"Invalid package"))</f>
        <v/>
      </c>
      <c r="F221" s="12" t="str">
        <f aca="false">IF(D221="","",IFERROR(INDEX('Reference Tables'!$C$3:$C$8,MATCH(D221,'Reference Tables'!$A$3:$A$8,0)),"Invalid package"))</f>
        <v/>
      </c>
      <c r="G221" s="14" t="str">
        <f aca="false">IF(E221="","",'Reference Tables'!$C$14)</f>
        <v/>
      </c>
      <c r="H221" s="12" t="str">
        <f aca="false">IF(E221="","",IF(E221&gt;=150,"Yes","No"))</f>
        <v/>
      </c>
      <c r="I221" s="13" t="str">
        <f aca="false">IF(E221="","",IF(H221="Yes",E221*G221,0))</f>
        <v/>
      </c>
      <c r="J221" s="13" t="str">
        <f aca="false">IF(E221="","",E221-I221)</f>
        <v/>
      </c>
      <c r="K221" s="6"/>
      <c r="L221" s="6"/>
    </row>
    <row r="222" customFormat="false" ht="15" hidden="false" customHeight="false" outlineLevel="0" collapsed="false">
      <c r="A222" s="11"/>
      <c r="B222" s="6"/>
      <c r="C222" s="12" t="str">
        <f aca="false">IF(B222="","",IFERROR(INDEX('Silver Registry'!$B$4:$B$103,MATCH(B222,'Silver Registry'!$A$4:$A$103,0)),"Not found"))</f>
        <v/>
      </c>
      <c r="D222" s="6"/>
      <c r="E222" s="13" t="str">
        <f aca="false">IF(D222="","",IFERROR(INDEX('Reference Tables'!$B$3:$B$8,MATCH(D222,'Reference Tables'!$A$3:$A$8,0)),"Invalid package"))</f>
        <v/>
      </c>
      <c r="F222" s="12" t="str">
        <f aca="false">IF(D222="","",IFERROR(INDEX('Reference Tables'!$C$3:$C$8,MATCH(D222,'Reference Tables'!$A$3:$A$8,0)),"Invalid package"))</f>
        <v/>
      </c>
      <c r="G222" s="14" t="str">
        <f aca="false">IF(E222="","",'Reference Tables'!$C$14)</f>
        <v/>
      </c>
      <c r="H222" s="12" t="str">
        <f aca="false">IF(E222="","",IF(E222&gt;=150,"Yes","No"))</f>
        <v/>
      </c>
      <c r="I222" s="13" t="str">
        <f aca="false">IF(E222="","",IF(H222="Yes",E222*G222,0))</f>
        <v/>
      </c>
      <c r="J222" s="13" t="str">
        <f aca="false">IF(E222="","",E222-I222)</f>
        <v/>
      </c>
      <c r="K222" s="6"/>
      <c r="L222" s="6"/>
    </row>
    <row r="223" customFormat="false" ht="15" hidden="false" customHeight="false" outlineLevel="0" collapsed="false">
      <c r="A223" s="11"/>
      <c r="B223" s="6"/>
      <c r="C223" s="12" t="str">
        <f aca="false">IF(B223="","",IFERROR(INDEX('Silver Registry'!$B$4:$B$103,MATCH(B223,'Silver Registry'!$A$4:$A$103,0)),"Not found"))</f>
        <v/>
      </c>
      <c r="D223" s="6"/>
      <c r="E223" s="13" t="str">
        <f aca="false">IF(D223="","",IFERROR(INDEX('Reference Tables'!$B$3:$B$8,MATCH(D223,'Reference Tables'!$A$3:$A$8,0)),"Invalid package"))</f>
        <v/>
      </c>
      <c r="F223" s="12" t="str">
        <f aca="false">IF(D223="","",IFERROR(INDEX('Reference Tables'!$C$3:$C$8,MATCH(D223,'Reference Tables'!$A$3:$A$8,0)),"Invalid package"))</f>
        <v/>
      </c>
      <c r="G223" s="14" t="str">
        <f aca="false">IF(E223="","",'Reference Tables'!$C$14)</f>
        <v/>
      </c>
      <c r="H223" s="12" t="str">
        <f aca="false">IF(E223="","",IF(E223&gt;=150,"Yes","No"))</f>
        <v/>
      </c>
      <c r="I223" s="13" t="str">
        <f aca="false">IF(E223="","",IF(H223="Yes",E223*G223,0))</f>
        <v/>
      </c>
      <c r="J223" s="13" t="str">
        <f aca="false">IF(E223="","",E223-I223)</f>
        <v/>
      </c>
      <c r="K223" s="6"/>
      <c r="L223" s="6"/>
    </row>
    <row r="224" customFormat="false" ht="15" hidden="false" customHeight="false" outlineLevel="0" collapsed="false">
      <c r="A224" s="11"/>
      <c r="B224" s="6"/>
      <c r="C224" s="12" t="str">
        <f aca="false">IF(B224="","",IFERROR(INDEX('Silver Registry'!$B$4:$B$103,MATCH(B224,'Silver Registry'!$A$4:$A$103,0)),"Not found"))</f>
        <v/>
      </c>
      <c r="D224" s="6"/>
      <c r="E224" s="13" t="str">
        <f aca="false">IF(D224="","",IFERROR(INDEX('Reference Tables'!$B$3:$B$8,MATCH(D224,'Reference Tables'!$A$3:$A$8,0)),"Invalid package"))</f>
        <v/>
      </c>
      <c r="F224" s="12" t="str">
        <f aca="false">IF(D224="","",IFERROR(INDEX('Reference Tables'!$C$3:$C$8,MATCH(D224,'Reference Tables'!$A$3:$A$8,0)),"Invalid package"))</f>
        <v/>
      </c>
      <c r="G224" s="14" t="str">
        <f aca="false">IF(E224="","",'Reference Tables'!$C$14)</f>
        <v/>
      </c>
      <c r="H224" s="12" t="str">
        <f aca="false">IF(E224="","",IF(E224&gt;=150,"Yes","No"))</f>
        <v/>
      </c>
      <c r="I224" s="13" t="str">
        <f aca="false">IF(E224="","",IF(H224="Yes",E224*G224,0))</f>
        <v/>
      </c>
      <c r="J224" s="13" t="str">
        <f aca="false">IF(E224="","",E224-I224)</f>
        <v/>
      </c>
      <c r="K224" s="6"/>
      <c r="L224" s="6"/>
    </row>
    <row r="225" customFormat="false" ht="15" hidden="false" customHeight="false" outlineLevel="0" collapsed="false">
      <c r="A225" s="11"/>
      <c r="B225" s="6"/>
      <c r="C225" s="12" t="str">
        <f aca="false">IF(B225="","",IFERROR(INDEX('Silver Registry'!$B$4:$B$103,MATCH(B225,'Silver Registry'!$A$4:$A$103,0)),"Not found"))</f>
        <v/>
      </c>
      <c r="D225" s="6"/>
      <c r="E225" s="13" t="str">
        <f aca="false">IF(D225="","",IFERROR(INDEX('Reference Tables'!$B$3:$B$8,MATCH(D225,'Reference Tables'!$A$3:$A$8,0)),"Invalid package"))</f>
        <v/>
      </c>
      <c r="F225" s="12" t="str">
        <f aca="false">IF(D225="","",IFERROR(INDEX('Reference Tables'!$C$3:$C$8,MATCH(D225,'Reference Tables'!$A$3:$A$8,0)),"Invalid package"))</f>
        <v/>
      </c>
      <c r="G225" s="14" t="str">
        <f aca="false">IF(E225="","",'Reference Tables'!$C$14)</f>
        <v/>
      </c>
      <c r="H225" s="12" t="str">
        <f aca="false">IF(E225="","",IF(E225&gt;=150,"Yes","No"))</f>
        <v/>
      </c>
      <c r="I225" s="13" t="str">
        <f aca="false">IF(E225="","",IF(H225="Yes",E225*G225,0))</f>
        <v/>
      </c>
      <c r="J225" s="13" t="str">
        <f aca="false">IF(E225="","",E225-I225)</f>
        <v/>
      </c>
      <c r="K225" s="6"/>
      <c r="L225" s="6"/>
    </row>
    <row r="226" customFormat="false" ht="15" hidden="false" customHeight="false" outlineLevel="0" collapsed="false">
      <c r="A226" s="11"/>
      <c r="B226" s="6"/>
      <c r="C226" s="12" t="str">
        <f aca="false">IF(B226="","",IFERROR(INDEX('Silver Registry'!$B$4:$B$103,MATCH(B226,'Silver Registry'!$A$4:$A$103,0)),"Not found"))</f>
        <v/>
      </c>
      <c r="D226" s="6"/>
      <c r="E226" s="13" t="str">
        <f aca="false">IF(D226="","",IFERROR(INDEX('Reference Tables'!$B$3:$B$8,MATCH(D226,'Reference Tables'!$A$3:$A$8,0)),"Invalid package"))</f>
        <v/>
      </c>
      <c r="F226" s="12" t="str">
        <f aca="false">IF(D226="","",IFERROR(INDEX('Reference Tables'!$C$3:$C$8,MATCH(D226,'Reference Tables'!$A$3:$A$8,0)),"Invalid package"))</f>
        <v/>
      </c>
      <c r="G226" s="14" t="str">
        <f aca="false">IF(E226="","",'Reference Tables'!$C$14)</f>
        <v/>
      </c>
      <c r="H226" s="12" t="str">
        <f aca="false">IF(E226="","",IF(E226&gt;=150,"Yes","No"))</f>
        <v/>
      </c>
      <c r="I226" s="13" t="str">
        <f aca="false">IF(E226="","",IF(H226="Yes",E226*G226,0))</f>
        <v/>
      </c>
      <c r="J226" s="13" t="str">
        <f aca="false">IF(E226="","",E226-I226)</f>
        <v/>
      </c>
      <c r="K226" s="6"/>
      <c r="L226" s="6"/>
    </row>
    <row r="227" customFormat="false" ht="15" hidden="false" customHeight="false" outlineLevel="0" collapsed="false">
      <c r="A227" s="11"/>
      <c r="B227" s="6"/>
      <c r="C227" s="12" t="str">
        <f aca="false">IF(B227="","",IFERROR(INDEX('Silver Registry'!$B$4:$B$103,MATCH(B227,'Silver Registry'!$A$4:$A$103,0)),"Not found"))</f>
        <v/>
      </c>
      <c r="D227" s="6"/>
      <c r="E227" s="13" t="str">
        <f aca="false">IF(D227="","",IFERROR(INDEX('Reference Tables'!$B$3:$B$8,MATCH(D227,'Reference Tables'!$A$3:$A$8,0)),"Invalid package"))</f>
        <v/>
      </c>
      <c r="F227" s="12" t="str">
        <f aca="false">IF(D227="","",IFERROR(INDEX('Reference Tables'!$C$3:$C$8,MATCH(D227,'Reference Tables'!$A$3:$A$8,0)),"Invalid package"))</f>
        <v/>
      </c>
      <c r="G227" s="14" t="str">
        <f aca="false">IF(E227="","",'Reference Tables'!$C$14)</f>
        <v/>
      </c>
      <c r="H227" s="12" t="str">
        <f aca="false">IF(E227="","",IF(E227&gt;=150,"Yes","No"))</f>
        <v/>
      </c>
      <c r="I227" s="13" t="str">
        <f aca="false">IF(E227="","",IF(H227="Yes",E227*G227,0))</f>
        <v/>
      </c>
      <c r="J227" s="13" t="str">
        <f aca="false">IF(E227="","",E227-I227)</f>
        <v/>
      </c>
      <c r="K227" s="6"/>
      <c r="L227" s="6"/>
    </row>
    <row r="228" customFormat="false" ht="15" hidden="false" customHeight="false" outlineLevel="0" collapsed="false">
      <c r="A228" s="11"/>
      <c r="B228" s="6"/>
      <c r="C228" s="12" t="str">
        <f aca="false">IF(B228="","",IFERROR(INDEX('Silver Registry'!$B$4:$B$103,MATCH(B228,'Silver Registry'!$A$4:$A$103,0)),"Not found"))</f>
        <v/>
      </c>
      <c r="D228" s="6"/>
      <c r="E228" s="13" t="str">
        <f aca="false">IF(D228="","",IFERROR(INDEX('Reference Tables'!$B$3:$B$8,MATCH(D228,'Reference Tables'!$A$3:$A$8,0)),"Invalid package"))</f>
        <v/>
      </c>
      <c r="F228" s="12" t="str">
        <f aca="false">IF(D228="","",IFERROR(INDEX('Reference Tables'!$C$3:$C$8,MATCH(D228,'Reference Tables'!$A$3:$A$8,0)),"Invalid package"))</f>
        <v/>
      </c>
      <c r="G228" s="14" t="str">
        <f aca="false">IF(E228="","",'Reference Tables'!$C$14)</f>
        <v/>
      </c>
      <c r="H228" s="12" t="str">
        <f aca="false">IF(E228="","",IF(E228&gt;=150,"Yes","No"))</f>
        <v/>
      </c>
      <c r="I228" s="13" t="str">
        <f aca="false">IF(E228="","",IF(H228="Yes",E228*G228,0))</f>
        <v/>
      </c>
      <c r="J228" s="13" t="str">
        <f aca="false">IF(E228="","",E228-I228)</f>
        <v/>
      </c>
      <c r="K228" s="6"/>
      <c r="L228" s="6"/>
    </row>
    <row r="229" customFormat="false" ht="15" hidden="false" customHeight="false" outlineLevel="0" collapsed="false">
      <c r="A229" s="11"/>
      <c r="B229" s="6"/>
      <c r="C229" s="12" t="str">
        <f aca="false">IF(B229="","",IFERROR(INDEX('Silver Registry'!$B$4:$B$103,MATCH(B229,'Silver Registry'!$A$4:$A$103,0)),"Not found"))</f>
        <v/>
      </c>
      <c r="D229" s="6"/>
      <c r="E229" s="13" t="str">
        <f aca="false">IF(D229="","",IFERROR(INDEX('Reference Tables'!$B$3:$B$8,MATCH(D229,'Reference Tables'!$A$3:$A$8,0)),"Invalid package"))</f>
        <v/>
      </c>
      <c r="F229" s="12" t="str">
        <f aca="false">IF(D229="","",IFERROR(INDEX('Reference Tables'!$C$3:$C$8,MATCH(D229,'Reference Tables'!$A$3:$A$8,0)),"Invalid package"))</f>
        <v/>
      </c>
      <c r="G229" s="14" t="str">
        <f aca="false">IF(E229="","",'Reference Tables'!$C$14)</f>
        <v/>
      </c>
      <c r="H229" s="12" t="str">
        <f aca="false">IF(E229="","",IF(E229&gt;=150,"Yes","No"))</f>
        <v/>
      </c>
      <c r="I229" s="13" t="str">
        <f aca="false">IF(E229="","",IF(H229="Yes",E229*G229,0))</f>
        <v/>
      </c>
      <c r="J229" s="13" t="str">
        <f aca="false">IF(E229="","",E229-I229)</f>
        <v/>
      </c>
      <c r="K229" s="6"/>
      <c r="L229" s="6"/>
    </row>
    <row r="230" customFormat="false" ht="15" hidden="false" customHeight="false" outlineLevel="0" collapsed="false">
      <c r="A230" s="11"/>
      <c r="B230" s="6"/>
      <c r="C230" s="12" t="str">
        <f aca="false">IF(B230="","",IFERROR(INDEX('Silver Registry'!$B$4:$B$103,MATCH(B230,'Silver Registry'!$A$4:$A$103,0)),"Not found"))</f>
        <v/>
      </c>
      <c r="D230" s="6"/>
      <c r="E230" s="13" t="str">
        <f aca="false">IF(D230="","",IFERROR(INDEX('Reference Tables'!$B$3:$B$8,MATCH(D230,'Reference Tables'!$A$3:$A$8,0)),"Invalid package"))</f>
        <v/>
      </c>
      <c r="F230" s="12" t="str">
        <f aca="false">IF(D230="","",IFERROR(INDEX('Reference Tables'!$C$3:$C$8,MATCH(D230,'Reference Tables'!$A$3:$A$8,0)),"Invalid package"))</f>
        <v/>
      </c>
      <c r="G230" s="14" t="str">
        <f aca="false">IF(E230="","",'Reference Tables'!$C$14)</f>
        <v/>
      </c>
      <c r="H230" s="12" t="str">
        <f aca="false">IF(E230="","",IF(E230&gt;=150,"Yes","No"))</f>
        <v/>
      </c>
      <c r="I230" s="13" t="str">
        <f aca="false">IF(E230="","",IF(H230="Yes",E230*G230,0))</f>
        <v/>
      </c>
      <c r="J230" s="13" t="str">
        <f aca="false">IF(E230="","",E230-I230)</f>
        <v/>
      </c>
      <c r="K230" s="6"/>
      <c r="L230" s="6"/>
    </row>
    <row r="231" customFormat="false" ht="15" hidden="false" customHeight="false" outlineLevel="0" collapsed="false">
      <c r="A231" s="11"/>
      <c r="B231" s="6"/>
      <c r="C231" s="12" t="str">
        <f aca="false">IF(B231="","",IFERROR(INDEX('Silver Registry'!$B$4:$B$103,MATCH(B231,'Silver Registry'!$A$4:$A$103,0)),"Not found"))</f>
        <v/>
      </c>
      <c r="D231" s="6"/>
      <c r="E231" s="13" t="str">
        <f aca="false">IF(D231="","",IFERROR(INDEX('Reference Tables'!$B$3:$B$8,MATCH(D231,'Reference Tables'!$A$3:$A$8,0)),"Invalid package"))</f>
        <v/>
      </c>
      <c r="F231" s="12" t="str">
        <f aca="false">IF(D231="","",IFERROR(INDEX('Reference Tables'!$C$3:$C$8,MATCH(D231,'Reference Tables'!$A$3:$A$8,0)),"Invalid package"))</f>
        <v/>
      </c>
      <c r="G231" s="14" t="str">
        <f aca="false">IF(E231="","",'Reference Tables'!$C$14)</f>
        <v/>
      </c>
      <c r="H231" s="12" t="str">
        <f aca="false">IF(E231="","",IF(E231&gt;=150,"Yes","No"))</f>
        <v/>
      </c>
      <c r="I231" s="13" t="str">
        <f aca="false">IF(E231="","",IF(H231="Yes",E231*G231,0))</f>
        <v/>
      </c>
      <c r="J231" s="13" t="str">
        <f aca="false">IF(E231="","",E231-I231)</f>
        <v/>
      </c>
      <c r="K231" s="6"/>
      <c r="L231" s="6"/>
    </row>
    <row r="232" customFormat="false" ht="15" hidden="false" customHeight="false" outlineLevel="0" collapsed="false">
      <c r="A232" s="11"/>
      <c r="B232" s="6"/>
      <c r="C232" s="12" t="str">
        <f aca="false">IF(B232="","",IFERROR(INDEX('Silver Registry'!$B$4:$B$103,MATCH(B232,'Silver Registry'!$A$4:$A$103,0)),"Not found"))</f>
        <v/>
      </c>
      <c r="D232" s="6"/>
      <c r="E232" s="13" t="str">
        <f aca="false">IF(D232="","",IFERROR(INDEX('Reference Tables'!$B$3:$B$8,MATCH(D232,'Reference Tables'!$A$3:$A$8,0)),"Invalid package"))</f>
        <v/>
      </c>
      <c r="F232" s="12" t="str">
        <f aca="false">IF(D232="","",IFERROR(INDEX('Reference Tables'!$C$3:$C$8,MATCH(D232,'Reference Tables'!$A$3:$A$8,0)),"Invalid package"))</f>
        <v/>
      </c>
      <c r="G232" s="14" t="str">
        <f aca="false">IF(E232="","",'Reference Tables'!$C$14)</f>
        <v/>
      </c>
      <c r="H232" s="12" t="str">
        <f aca="false">IF(E232="","",IF(E232&gt;=150,"Yes","No"))</f>
        <v/>
      </c>
      <c r="I232" s="13" t="str">
        <f aca="false">IF(E232="","",IF(H232="Yes",E232*G232,0))</f>
        <v/>
      </c>
      <c r="J232" s="13" t="str">
        <f aca="false">IF(E232="","",E232-I232)</f>
        <v/>
      </c>
      <c r="K232" s="6"/>
      <c r="L232" s="6"/>
    </row>
    <row r="233" customFormat="false" ht="15" hidden="false" customHeight="false" outlineLevel="0" collapsed="false">
      <c r="A233" s="11"/>
      <c r="B233" s="6"/>
      <c r="C233" s="12" t="str">
        <f aca="false">IF(B233="","",IFERROR(INDEX('Silver Registry'!$B$4:$B$103,MATCH(B233,'Silver Registry'!$A$4:$A$103,0)),"Not found"))</f>
        <v/>
      </c>
      <c r="D233" s="6"/>
      <c r="E233" s="13" t="str">
        <f aca="false">IF(D233="","",IFERROR(INDEX('Reference Tables'!$B$3:$B$8,MATCH(D233,'Reference Tables'!$A$3:$A$8,0)),"Invalid package"))</f>
        <v/>
      </c>
      <c r="F233" s="12" t="str">
        <f aca="false">IF(D233="","",IFERROR(INDEX('Reference Tables'!$C$3:$C$8,MATCH(D233,'Reference Tables'!$A$3:$A$8,0)),"Invalid package"))</f>
        <v/>
      </c>
      <c r="G233" s="14" t="str">
        <f aca="false">IF(E233="","",'Reference Tables'!$C$14)</f>
        <v/>
      </c>
      <c r="H233" s="12" t="str">
        <f aca="false">IF(E233="","",IF(E233&gt;=150,"Yes","No"))</f>
        <v/>
      </c>
      <c r="I233" s="13" t="str">
        <f aca="false">IF(E233="","",IF(H233="Yes",E233*G233,0))</f>
        <v/>
      </c>
      <c r="J233" s="13" t="str">
        <f aca="false">IF(E233="","",E233-I233)</f>
        <v/>
      </c>
      <c r="K233" s="6"/>
      <c r="L233" s="6"/>
    </row>
    <row r="234" customFormat="false" ht="15" hidden="false" customHeight="false" outlineLevel="0" collapsed="false">
      <c r="A234" s="11"/>
      <c r="B234" s="6"/>
      <c r="C234" s="12" t="str">
        <f aca="false">IF(B234="","",IFERROR(INDEX('Silver Registry'!$B$4:$B$103,MATCH(B234,'Silver Registry'!$A$4:$A$103,0)),"Not found"))</f>
        <v/>
      </c>
      <c r="D234" s="6"/>
      <c r="E234" s="13" t="str">
        <f aca="false">IF(D234="","",IFERROR(INDEX('Reference Tables'!$B$3:$B$8,MATCH(D234,'Reference Tables'!$A$3:$A$8,0)),"Invalid package"))</f>
        <v/>
      </c>
      <c r="F234" s="12" t="str">
        <f aca="false">IF(D234="","",IFERROR(INDEX('Reference Tables'!$C$3:$C$8,MATCH(D234,'Reference Tables'!$A$3:$A$8,0)),"Invalid package"))</f>
        <v/>
      </c>
      <c r="G234" s="14" t="str">
        <f aca="false">IF(E234="","",'Reference Tables'!$C$14)</f>
        <v/>
      </c>
      <c r="H234" s="12" t="str">
        <f aca="false">IF(E234="","",IF(E234&gt;=150,"Yes","No"))</f>
        <v/>
      </c>
      <c r="I234" s="13" t="str">
        <f aca="false">IF(E234="","",IF(H234="Yes",E234*G234,0))</f>
        <v/>
      </c>
      <c r="J234" s="13" t="str">
        <f aca="false">IF(E234="","",E234-I234)</f>
        <v/>
      </c>
      <c r="K234" s="6"/>
      <c r="L234" s="6"/>
    </row>
    <row r="235" customFormat="false" ht="15" hidden="false" customHeight="false" outlineLevel="0" collapsed="false">
      <c r="A235" s="11"/>
      <c r="B235" s="6"/>
      <c r="C235" s="12" t="str">
        <f aca="false">IF(B235="","",IFERROR(INDEX('Silver Registry'!$B$4:$B$103,MATCH(B235,'Silver Registry'!$A$4:$A$103,0)),"Not found"))</f>
        <v/>
      </c>
      <c r="D235" s="6"/>
      <c r="E235" s="13" t="str">
        <f aca="false">IF(D235="","",IFERROR(INDEX('Reference Tables'!$B$3:$B$8,MATCH(D235,'Reference Tables'!$A$3:$A$8,0)),"Invalid package"))</f>
        <v/>
      </c>
      <c r="F235" s="12" t="str">
        <f aca="false">IF(D235="","",IFERROR(INDEX('Reference Tables'!$C$3:$C$8,MATCH(D235,'Reference Tables'!$A$3:$A$8,0)),"Invalid package"))</f>
        <v/>
      </c>
      <c r="G235" s="14" t="str">
        <f aca="false">IF(E235="","",'Reference Tables'!$C$14)</f>
        <v/>
      </c>
      <c r="H235" s="12" t="str">
        <f aca="false">IF(E235="","",IF(E235&gt;=150,"Yes","No"))</f>
        <v/>
      </c>
      <c r="I235" s="13" t="str">
        <f aca="false">IF(E235="","",IF(H235="Yes",E235*G235,0))</f>
        <v/>
      </c>
      <c r="J235" s="13" t="str">
        <f aca="false">IF(E235="","",E235-I235)</f>
        <v/>
      </c>
      <c r="K235" s="6"/>
      <c r="L235" s="6"/>
    </row>
    <row r="236" customFormat="false" ht="15" hidden="false" customHeight="false" outlineLevel="0" collapsed="false">
      <c r="A236" s="11"/>
      <c r="B236" s="6"/>
      <c r="C236" s="12" t="str">
        <f aca="false">IF(B236="","",IFERROR(INDEX('Silver Registry'!$B$4:$B$103,MATCH(B236,'Silver Registry'!$A$4:$A$103,0)),"Not found"))</f>
        <v/>
      </c>
      <c r="D236" s="6"/>
      <c r="E236" s="13" t="str">
        <f aca="false">IF(D236="","",IFERROR(INDEX('Reference Tables'!$B$3:$B$8,MATCH(D236,'Reference Tables'!$A$3:$A$8,0)),"Invalid package"))</f>
        <v/>
      </c>
      <c r="F236" s="12" t="str">
        <f aca="false">IF(D236="","",IFERROR(INDEX('Reference Tables'!$C$3:$C$8,MATCH(D236,'Reference Tables'!$A$3:$A$8,0)),"Invalid package"))</f>
        <v/>
      </c>
      <c r="G236" s="14" t="str">
        <f aca="false">IF(E236="","",'Reference Tables'!$C$14)</f>
        <v/>
      </c>
      <c r="H236" s="12" t="str">
        <f aca="false">IF(E236="","",IF(E236&gt;=150,"Yes","No"))</f>
        <v/>
      </c>
      <c r="I236" s="13" t="str">
        <f aca="false">IF(E236="","",IF(H236="Yes",E236*G236,0))</f>
        <v/>
      </c>
      <c r="J236" s="13" t="str">
        <f aca="false">IF(E236="","",E236-I236)</f>
        <v/>
      </c>
      <c r="K236" s="6"/>
      <c r="L236" s="6"/>
    </row>
    <row r="237" customFormat="false" ht="15" hidden="false" customHeight="false" outlineLevel="0" collapsed="false">
      <c r="A237" s="11"/>
      <c r="B237" s="6"/>
      <c r="C237" s="12" t="str">
        <f aca="false">IF(B237="","",IFERROR(INDEX('Silver Registry'!$B$4:$B$103,MATCH(B237,'Silver Registry'!$A$4:$A$103,0)),"Not found"))</f>
        <v/>
      </c>
      <c r="D237" s="6"/>
      <c r="E237" s="13" t="str">
        <f aca="false">IF(D237="","",IFERROR(INDEX('Reference Tables'!$B$3:$B$8,MATCH(D237,'Reference Tables'!$A$3:$A$8,0)),"Invalid package"))</f>
        <v/>
      </c>
      <c r="F237" s="12" t="str">
        <f aca="false">IF(D237="","",IFERROR(INDEX('Reference Tables'!$C$3:$C$8,MATCH(D237,'Reference Tables'!$A$3:$A$8,0)),"Invalid package"))</f>
        <v/>
      </c>
      <c r="G237" s="14" t="str">
        <f aca="false">IF(E237="","",'Reference Tables'!$C$14)</f>
        <v/>
      </c>
      <c r="H237" s="12" t="str">
        <f aca="false">IF(E237="","",IF(E237&gt;=150,"Yes","No"))</f>
        <v/>
      </c>
      <c r="I237" s="13" t="str">
        <f aca="false">IF(E237="","",IF(H237="Yes",E237*G237,0))</f>
        <v/>
      </c>
      <c r="J237" s="13" t="str">
        <f aca="false">IF(E237="","",E237-I237)</f>
        <v/>
      </c>
      <c r="K237" s="6"/>
      <c r="L237" s="6"/>
    </row>
    <row r="238" customFormat="false" ht="15" hidden="false" customHeight="false" outlineLevel="0" collapsed="false">
      <c r="A238" s="11"/>
      <c r="B238" s="6"/>
      <c r="C238" s="12" t="str">
        <f aca="false">IF(B238="","",IFERROR(INDEX('Silver Registry'!$B$4:$B$103,MATCH(B238,'Silver Registry'!$A$4:$A$103,0)),"Not found"))</f>
        <v/>
      </c>
      <c r="D238" s="6"/>
      <c r="E238" s="13" t="str">
        <f aca="false">IF(D238="","",IFERROR(INDEX('Reference Tables'!$B$3:$B$8,MATCH(D238,'Reference Tables'!$A$3:$A$8,0)),"Invalid package"))</f>
        <v/>
      </c>
      <c r="F238" s="12" t="str">
        <f aca="false">IF(D238="","",IFERROR(INDEX('Reference Tables'!$C$3:$C$8,MATCH(D238,'Reference Tables'!$A$3:$A$8,0)),"Invalid package"))</f>
        <v/>
      </c>
      <c r="G238" s="14" t="str">
        <f aca="false">IF(E238="","",'Reference Tables'!$C$14)</f>
        <v/>
      </c>
      <c r="H238" s="12" t="str">
        <f aca="false">IF(E238="","",IF(E238&gt;=150,"Yes","No"))</f>
        <v/>
      </c>
      <c r="I238" s="13" t="str">
        <f aca="false">IF(E238="","",IF(H238="Yes",E238*G238,0))</f>
        <v/>
      </c>
      <c r="J238" s="13" t="str">
        <f aca="false">IF(E238="","",E238-I238)</f>
        <v/>
      </c>
      <c r="K238" s="6"/>
      <c r="L238" s="6"/>
    </row>
    <row r="239" customFormat="false" ht="15" hidden="false" customHeight="false" outlineLevel="0" collapsed="false">
      <c r="A239" s="11"/>
      <c r="B239" s="6"/>
      <c r="C239" s="12" t="str">
        <f aca="false">IF(B239="","",IFERROR(INDEX('Silver Registry'!$B$4:$B$103,MATCH(B239,'Silver Registry'!$A$4:$A$103,0)),"Not found"))</f>
        <v/>
      </c>
      <c r="D239" s="6"/>
      <c r="E239" s="13" t="str">
        <f aca="false">IF(D239="","",IFERROR(INDEX('Reference Tables'!$B$3:$B$8,MATCH(D239,'Reference Tables'!$A$3:$A$8,0)),"Invalid package"))</f>
        <v/>
      </c>
      <c r="F239" s="12" t="str">
        <f aca="false">IF(D239="","",IFERROR(INDEX('Reference Tables'!$C$3:$C$8,MATCH(D239,'Reference Tables'!$A$3:$A$8,0)),"Invalid package"))</f>
        <v/>
      </c>
      <c r="G239" s="14" t="str">
        <f aca="false">IF(E239="","",'Reference Tables'!$C$14)</f>
        <v/>
      </c>
      <c r="H239" s="12" t="str">
        <f aca="false">IF(E239="","",IF(E239&gt;=150,"Yes","No"))</f>
        <v/>
      </c>
      <c r="I239" s="13" t="str">
        <f aca="false">IF(E239="","",IF(H239="Yes",E239*G239,0))</f>
        <v/>
      </c>
      <c r="J239" s="13" t="str">
        <f aca="false">IF(E239="","",E239-I239)</f>
        <v/>
      </c>
      <c r="K239" s="6"/>
      <c r="L239" s="6"/>
    </row>
    <row r="240" customFormat="false" ht="15" hidden="false" customHeight="false" outlineLevel="0" collapsed="false">
      <c r="A240" s="11"/>
      <c r="B240" s="6"/>
      <c r="C240" s="12" t="str">
        <f aca="false">IF(B240="","",IFERROR(INDEX('Silver Registry'!$B$4:$B$103,MATCH(B240,'Silver Registry'!$A$4:$A$103,0)),"Not found"))</f>
        <v/>
      </c>
      <c r="D240" s="6"/>
      <c r="E240" s="13" t="str">
        <f aca="false">IF(D240="","",IFERROR(INDEX('Reference Tables'!$B$3:$B$8,MATCH(D240,'Reference Tables'!$A$3:$A$8,0)),"Invalid package"))</f>
        <v/>
      </c>
      <c r="F240" s="12" t="str">
        <f aca="false">IF(D240="","",IFERROR(INDEX('Reference Tables'!$C$3:$C$8,MATCH(D240,'Reference Tables'!$A$3:$A$8,0)),"Invalid package"))</f>
        <v/>
      </c>
      <c r="G240" s="14" t="str">
        <f aca="false">IF(E240="","",'Reference Tables'!$C$14)</f>
        <v/>
      </c>
      <c r="H240" s="12" t="str">
        <f aca="false">IF(E240="","",IF(E240&gt;=150,"Yes","No"))</f>
        <v/>
      </c>
      <c r="I240" s="13" t="str">
        <f aca="false">IF(E240="","",IF(H240="Yes",E240*G240,0))</f>
        <v/>
      </c>
      <c r="J240" s="13" t="str">
        <f aca="false">IF(E240="","",E240-I240)</f>
        <v/>
      </c>
      <c r="K240" s="6"/>
      <c r="L240" s="6"/>
    </row>
    <row r="241" customFormat="false" ht="15" hidden="false" customHeight="false" outlineLevel="0" collapsed="false">
      <c r="A241" s="11"/>
      <c r="B241" s="6"/>
      <c r="C241" s="12" t="str">
        <f aca="false">IF(B241="","",IFERROR(INDEX('Silver Registry'!$B$4:$B$103,MATCH(B241,'Silver Registry'!$A$4:$A$103,0)),"Not found"))</f>
        <v/>
      </c>
      <c r="D241" s="6"/>
      <c r="E241" s="13" t="str">
        <f aca="false">IF(D241="","",IFERROR(INDEX('Reference Tables'!$B$3:$B$8,MATCH(D241,'Reference Tables'!$A$3:$A$8,0)),"Invalid package"))</f>
        <v/>
      </c>
      <c r="F241" s="12" t="str">
        <f aca="false">IF(D241="","",IFERROR(INDEX('Reference Tables'!$C$3:$C$8,MATCH(D241,'Reference Tables'!$A$3:$A$8,0)),"Invalid package"))</f>
        <v/>
      </c>
      <c r="G241" s="14" t="str">
        <f aca="false">IF(E241="","",'Reference Tables'!$C$14)</f>
        <v/>
      </c>
      <c r="H241" s="12" t="str">
        <f aca="false">IF(E241="","",IF(E241&gt;=150,"Yes","No"))</f>
        <v/>
      </c>
      <c r="I241" s="13" t="str">
        <f aca="false">IF(E241="","",IF(H241="Yes",E241*G241,0))</f>
        <v/>
      </c>
      <c r="J241" s="13" t="str">
        <f aca="false">IF(E241="","",E241-I241)</f>
        <v/>
      </c>
      <c r="K241" s="6"/>
      <c r="L241" s="6"/>
    </row>
    <row r="242" customFormat="false" ht="15" hidden="false" customHeight="false" outlineLevel="0" collapsed="false">
      <c r="A242" s="11"/>
      <c r="B242" s="6"/>
      <c r="C242" s="12" t="str">
        <f aca="false">IF(B242="","",IFERROR(INDEX('Silver Registry'!$B$4:$B$103,MATCH(B242,'Silver Registry'!$A$4:$A$103,0)),"Not found"))</f>
        <v/>
      </c>
      <c r="D242" s="6"/>
      <c r="E242" s="13" t="str">
        <f aca="false">IF(D242="","",IFERROR(INDEX('Reference Tables'!$B$3:$B$8,MATCH(D242,'Reference Tables'!$A$3:$A$8,0)),"Invalid package"))</f>
        <v/>
      </c>
      <c r="F242" s="12" t="str">
        <f aca="false">IF(D242="","",IFERROR(INDEX('Reference Tables'!$C$3:$C$8,MATCH(D242,'Reference Tables'!$A$3:$A$8,0)),"Invalid package"))</f>
        <v/>
      </c>
      <c r="G242" s="14" t="str">
        <f aca="false">IF(E242="","",'Reference Tables'!$C$14)</f>
        <v/>
      </c>
      <c r="H242" s="12" t="str">
        <f aca="false">IF(E242="","",IF(E242&gt;=150,"Yes","No"))</f>
        <v/>
      </c>
      <c r="I242" s="13" t="str">
        <f aca="false">IF(E242="","",IF(H242="Yes",E242*G242,0))</f>
        <v/>
      </c>
      <c r="J242" s="13" t="str">
        <f aca="false">IF(E242="","",E242-I242)</f>
        <v/>
      </c>
      <c r="K242" s="6"/>
      <c r="L242" s="6"/>
    </row>
    <row r="243" customFormat="false" ht="15" hidden="false" customHeight="false" outlineLevel="0" collapsed="false">
      <c r="A243" s="11"/>
      <c r="B243" s="6"/>
      <c r="C243" s="12" t="str">
        <f aca="false">IF(B243="","",IFERROR(INDEX('Silver Registry'!$B$4:$B$103,MATCH(B243,'Silver Registry'!$A$4:$A$103,0)),"Not found"))</f>
        <v/>
      </c>
      <c r="D243" s="6"/>
      <c r="E243" s="13" t="str">
        <f aca="false">IF(D243="","",IFERROR(INDEX('Reference Tables'!$B$3:$B$8,MATCH(D243,'Reference Tables'!$A$3:$A$8,0)),"Invalid package"))</f>
        <v/>
      </c>
      <c r="F243" s="12" t="str">
        <f aca="false">IF(D243="","",IFERROR(INDEX('Reference Tables'!$C$3:$C$8,MATCH(D243,'Reference Tables'!$A$3:$A$8,0)),"Invalid package"))</f>
        <v/>
      </c>
      <c r="G243" s="14" t="str">
        <f aca="false">IF(E243="","",'Reference Tables'!$C$14)</f>
        <v/>
      </c>
      <c r="H243" s="12" t="str">
        <f aca="false">IF(E243="","",IF(E243&gt;=150,"Yes","No"))</f>
        <v/>
      </c>
      <c r="I243" s="13" t="str">
        <f aca="false">IF(E243="","",IF(H243="Yes",E243*G243,0))</f>
        <v/>
      </c>
      <c r="J243" s="13" t="str">
        <f aca="false">IF(E243="","",E243-I243)</f>
        <v/>
      </c>
      <c r="K243" s="6"/>
      <c r="L243" s="6"/>
    </row>
    <row r="244" customFormat="false" ht="15" hidden="false" customHeight="false" outlineLevel="0" collapsed="false">
      <c r="A244" s="11"/>
      <c r="B244" s="6"/>
      <c r="C244" s="12" t="str">
        <f aca="false">IF(B244="","",IFERROR(INDEX('Silver Registry'!$B$4:$B$103,MATCH(B244,'Silver Registry'!$A$4:$A$103,0)),"Not found"))</f>
        <v/>
      </c>
      <c r="D244" s="6"/>
      <c r="E244" s="13" t="str">
        <f aca="false">IF(D244="","",IFERROR(INDEX('Reference Tables'!$B$3:$B$8,MATCH(D244,'Reference Tables'!$A$3:$A$8,0)),"Invalid package"))</f>
        <v/>
      </c>
      <c r="F244" s="12" t="str">
        <f aca="false">IF(D244="","",IFERROR(INDEX('Reference Tables'!$C$3:$C$8,MATCH(D244,'Reference Tables'!$A$3:$A$8,0)),"Invalid package"))</f>
        <v/>
      </c>
      <c r="G244" s="14" t="str">
        <f aca="false">IF(E244="","",'Reference Tables'!$C$14)</f>
        <v/>
      </c>
      <c r="H244" s="12" t="str">
        <f aca="false">IF(E244="","",IF(E244&gt;=150,"Yes","No"))</f>
        <v/>
      </c>
      <c r="I244" s="13" t="str">
        <f aca="false">IF(E244="","",IF(H244="Yes",E244*G244,0))</f>
        <v/>
      </c>
      <c r="J244" s="13" t="str">
        <f aca="false">IF(E244="","",E244-I244)</f>
        <v/>
      </c>
      <c r="K244" s="6"/>
      <c r="L244" s="6"/>
    </row>
    <row r="245" customFormat="false" ht="15" hidden="false" customHeight="false" outlineLevel="0" collapsed="false">
      <c r="A245" s="11"/>
      <c r="B245" s="6"/>
      <c r="C245" s="12" t="str">
        <f aca="false">IF(B245="","",IFERROR(INDEX('Silver Registry'!$B$4:$B$103,MATCH(B245,'Silver Registry'!$A$4:$A$103,0)),"Not found"))</f>
        <v/>
      </c>
      <c r="D245" s="6"/>
      <c r="E245" s="13" t="str">
        <f aca="false">IF(D245="","",IFERROR(INDEX('Reference Tables'!$B$3:$B$8,MATCH(D245,'Reference Tables'!$A$3:$A$8,0)),"Invalid package"))</f>
        <v/>
      </c>
      <c r="F245" s="12" t="str">
        <f aca="false">IF(D245="","",IFERROR(INDEX('Reference Tables'!$C$3:$C$8,MATCH(D245,'Reference Tables'!$A$3:$A$8,0)),"Invalid package"))</f>
        <v/>
      </c>
      <c r="G245" s="14" t="str">
        <f aca="false">IF(E245="","",'Reference Tables'!$C$14)</f>
        <v/>
      </c>
      <c r="H245" s="12" t="str">
        <f aca="false">IF(E245="","",IF(E245&gt;=150,"Yes","No"))</f>
        <v/>
      </c>
      <c r="I245" s="13" t="str">
        <f aca="false">IF(E245="","",IF(H245="Yes",E245*G245,0))</f>
        <v/>
      </c>
      <c r="J245" s="13" t="str">
        <f aca="false">IF(E245="","",E245-I245)</f>
        <v/>
      </c>
      <c r="K245" s="6"/>
      <c r="L245" s="6"/>
    </row>
    <row r="246" customFormat="false" ht="15" hidden="false" customHeight="false" outlineLevel="0" collapsed="false">
      <c r="A246" s="11"/>
      <c r="B246" s="6"/>
      <c r="C246" s="12" t="str">
        <f aca="false">IF(B246="","",IFERROR(INDEX('Silver Registry'!$B$4:$B$103,MATCH(B246,'Silver Registry'!$A$4:$A$103,0)),"Not found"))</f>
        <v/>
      </c>
      <c r="D246" s="6"/>
      <c r="E246" s="13" t="str">
        <f aca="false">IF(D246="","",IFERROR(INDEX('Reference Tables'!$B$3:$B$8,MATCH(D246,'Reference Tables'!$A$3:$A$8,0)),"Invalid package"))</f>
        <v/>
      </c>
      <c r="F246" s="12" t="str">
        <f aca="false">IF(D246="","",IFERROR(INDEX('Reference Tables'!$C$3:$C$8,MATCH(D246,'Reference Tables'!$A$3:$A$8,0)),"Invalid package"))</f>
        <v/>
      </c>
      <c r="G246" s="14" t="str">
        <f aca="false">IF(E246="","",'Reference Tables'!$C$14)</f>
        <v/>
      </c>
      <c r="H246" s="12" t="str">
        <f aca="false">IF(E246="","",IF(E246&gt;=150,"Yes","No"))</f>
        <v/>
      </c>
      <c r="I246" s="13" t="str">
        <f aca="false">IF(E246="","",IF(H246="Yes",E246*G246,0))</f>
        <v/>
      </c>
      <c r="J246" s="13" t="str">
        <f aca="false">IF(E246="","",E246-I246)</f>
        <v/>
      </c>
      <c r="K246" s="6"/>
      <c r="L246" s="6"/>
    </row>
    <row r="247" customFormat="false" ht="15" hidden="false" customHeight="false" outlineLevel="0" collapsed="false">
      <c r="A247" s="11"/>
      <c r="B247" s="6"/>
      <c r="C247" s="12" t="str">
        <f aca="false">IF(B247="","",IFERROR(INDEX('Silver Registry'!$B$4:$B$103,MATCH(B247,'Silver Registry'!$A$4:$A$103,0)),"Not found"))</f>
        <v/>
      </c>
      <c r="D247" s="6"/>
      <c r="E247" s="13" t="str">
        <f aca="false">IF(D247="","",IFERROR(INDEX('Reference Tables'!$B$3:$B$8,MATCH(D247,'Reference Tables'!$A$3:$A$8,0)),"Invalid package"))</f>
        <v/>
      </c>
      <c r="F247" s="12" t="str">
        <f aca="false">IF(D247="","",IFERROR(INDEX('Reference Tables'!$C$3:$C$8,MATCH(D247,'Reference Tables'!$A$3:$A$8,0)),"Invalid package"))</f>
        <v/>
      </c>
      <c r="G247" s="14" t="str">
        <f aca="false">IF(E247="","",'Reference Tables'!$C$14)</f>
        <v/>
      </c>
      <c r="H247" s="12" t="str">
        <f aca="false">IF(E247="","",IF(E247&gt;=150,"Yes","No"))</f>
        <v/>
      </c>
      <c r="I247" s="13" t="str">
        <f aca="false">IF(E247="","",IF(H247="Yes",E247*G247,0))</f>
        <v/>
      </c>
      <c r="J247" s="13" t="str">
        <f aca="false">IF(E247="","",E247-I247)</f>
        <v/>
      </c>
      <c r="K247" s="6"/>
      <c r="L247" s="6"/>
    </row>
    <row r="248" customFormat="false" ht="15" hidden="false" customHeight="false" outlineLevel="0" collapsed="false">
      <c r="A248" s="11"/>
      <c r="B248" s="6"/>
      <c r="C248" s="12" t="str">
        <f aca="false">IF(B248="","",IFERROR(INDEX('Silver Registry'!$B$4:$B$103,MATCH(B248,'Silver Registry'!$A$4:$A$103,0)),"Not found"))</f>
        <v/>
      </c>
      <c r="D248" s="6"/>
      <c r="E248" s="13" t="str">
        <f aca="false">IF(D248="","",IFERROR(INDEX('Reference Tables'!$B$3:$B$8,MATCH(D248,'Reference Tables'!$A$3:$A$8,0)),"Invalid package"))</f>
        <v/>
      </c>
      <c r="F248" s="12" t="str">
        <f aca="false">IF(D248="","",IFERROR(INDEX('Reference Tables'!$C$3:$C$8,MATCH(D248,'Reference Tables'!$A$3:$A$8,0)),"Invalid package"))</f>
        <v/>
      </c>
      <c r="G248" s="14" t="str">
        <f aca="false">IF(E248="","",'Reference Tables'!$C$14)</f>
        <v/>
      </c>
      <c r="H248" s="12" t="str">
        <f aca="false">IF(E248="","",IF(E248&gt;=150,"Yes","No"))</f>
        <v/>
      </c>
      <c r="I248" s="13" t="str">
        <f aca="false">IF(E248="","",IF(H248="Yes",E248*G248,0))</f>
        <v/>
      </c>
      <c r="J248" s="13" t="str">
        <f aca="false">IF(E248="","",E248-I248)</f>
        <v/>
      </c>
      <c r="K248" s="6"/>
      <c r="L248" s="6"/>
    </row>
    <row r="249" customFormat="false" ht="15" hidden="false" customHeight="false" outlineLevel="0" collapsed="false">
      <c r="A249" s="11"/>
      <c r="B249" s="6"/>
      <c r="C249" s="12" t="str">
        <f aca="false">IF(B249="","",IFERROR(INDEX('Silver Registry'!$B$4:$B$103,MATCH(B249,'Silver Registry'!$A$4:$A$103,0)),"Not found"))</f>
        <v/>
      </c>
      <c r="D249" s="6"/>
      <c r="E249" s="13" t="str">
        <f aca="false">IF(D249="","",IFERROR(INDEX('Reference Tables'!$B$3:$B$8,MATCH(D249,'Reference Tables'!$A$3:$A$8,0)),"Invalid package"))</f>
        <v/>
      </c>
      <c r="F249" s="12" t="str">
        <f aca="false">IF(D249="","",IFERROR(INDEX('Reference Tables'!$C$3:$C$8,MATCH(D249,'Reference Tables'!$A$3:$A$8,0)),"Invalid package"))</f>
        <v/>
      </c>
      <c r="G249" s="14" t="str">
        <f aca="false">IF(E249="","",'Reference Tables'!$C$14)</f>
        <v/>
      </c>
      <c r="H249" s="12" t="str">
        <f aca="false">IF(E249="","",IF(E249&gt;=150,"Yes","No"))</f>
        <v/>
      </c>
      <c r="I249" s="13" t="str">
        <f aca="false">IF(E249="","",IF(H249="Yes",E249*G249,0))</f>
        <v/>
      </c>
      <c r="J249" s="13" t="str">
        <f aca="false">IF(E249="","",E249-I249)</f>
        <v/>
      </c>
      <c r="K249" s="6"/>
      <c r="L249" s="6"/>
    </row>
    <row r="250" customFormat="false" ht="15" hidden="false" customHeight="false" outlineLevel="0" collapsed="false">
      <c r="A250" s="11"/>
      <c r="B250" s="6"/>
      <c r="C250" s="12" t="str">
        <f aca="false">IF(B250="","",IFERROR(INDEX('Silver Registry'!$B$4:$B$103,MATCH(B250,'Silver Registry'!$A$4:$A$103,0)),"Not found"))</f>
        <v/>
      </c>
      <c r="D250" s="6"/>
      <c r="E250" s="13" t="str">
        <f aca="false">IF(D250="","",IFERROR(INDEX('Reference Tables'!$B$3:$B$8,MATCH(D250,'Reference Tables'!$A$3:$A$8,0)),"Invalid package"))</f>
        <v/>
      </c>
      <c r="F250" s="12" t="str">
        <f aca="false">IF(D250="","",IFERROR(INDEX('Reference Tables'!$C$3:$C$8,MATCH(D250,'Reference Tables'!$A$3:$A$8,0)),"Invalid package"))</f>
        <v/>
      </c>
      <c r="G250" s="14" t="str">
        <f aca="false">IF(E250="","",'Reference Tables'!$C$14)</f>
        <v/>
      </c>
      <c r="H250" s="12" t="str">
        <f aca="false">IF(E250="","",IF(E250&gt;=150,"Yes","No"))</f>
        <v/>
      </c>
      <c r="I250" s="13" t="str">
        <f aca="false">IF(E250="","",IF(H250="Yes",E250*G250,0))</f>
        <v/>
      </c>
      <c r="J250" s="13" t="str">
        <f aca="false">IF(E250="","",E250-I250)</f>
        <v/>
      </c>
      <c r="K250" s="6"/>
      <c r="L250" s="6"/>
    </row>
    <row r="251" customFormat="false" ht="15" hidden="false" customHeight="false" outlineLevel="0" collapsed="false">
      <c r="A251" s="11"/>
      <c r="B251" s="6"/>
      <c r="C251" s="12" t="str">
        <f aca="false">IF(B251="","",IFERROR(INDEX('Silver Registry'!$B$4:$B$103,MATCH(B251,'Silver Registry'!$A$4:$A$103,0)),"Not found"))</f>
        <v/>
      </c>
      <c r="D251" s="6"/>
      <c r="E251" s="13" t="str">
        <f aca="false">IF(D251="","",IFERROR(INDEX('Reference Tables'!$B$3:$B$8,MATCH(D251,'Reference Tables'!$A$3:$A$8,0)),"Invalid package"))</f>
        <v/>
      </c>
      <c r="F251" s="12" t="str">
        <f aca="false">IF(D251="","",IFERROR(INDEX('Reference Tables'!$C$3:$C$8,MATCH(D251,'Reference Tables'!$A$3:$A$8,0)),"Invalid package"))</f>
        <v/>
      </c>
      <c r="G251" s="14" t="str">
        <f aca="false">IF(E251="","",'Reference Tables'!$C$14)</f>
        <v/>
      </c>
      <c r="H251" s="12" t="str">
        <f aca="false">IF(E251="","",IF(E251&gt;=150,"Yes","No"))</f>
        <v/>
      </c>
      <c r="I251" s="13" t="str">
        <f aca="false">IF(E251="","",IF(H251="Yes",E251*G251,0))</f>
        <v/>
      </c>
      <c r="J251" s="13" t="str">
        <f aca="false">IF(E251="","",E251-I251)</f>
        <v/>
      </c>
      <c r="K251" s="6"/>
      <c r="L251" s="6"/>
    </row>
    <row r="252" customFormat="false" ht="15" hidden="false" customHeight="false" outlineLevel="0" collapsed="false">
      <c r="A252" s="11"/>
      <c r="B252" s="6"/>
      <c r="C252" s="12" t="str">
        <f aca="false">IF(B252="","",IFERROR(INDEX('Silver Registry'!$B$4:$B$103,MATCH(B252,'Silver Registry'!$A$4:$A$103,0)),"Not found"))</f>
        <v/>
      </c>
      <c r="D252" s="6"/>
      <c r="E252" s="13" t="str">
        <f aca="false">IF(D252="","",IFERROR(INDEX('Reference Tables'!$B$3:$B$8,MATCH(D252,'Reference Tables'!$A$3:$A$8,0)),"Invalid package"))</f>
        <v/>
      </c>
      <c r="F252" s="12" t="str">
        <f aca="false">IF(D252="","",IFERROR(INDEX('Reference Tables'!$C$3:$C$8,MATCH(D252,'Reference Tables'!$A$3:$A$8,0)),"Invalid package"))</f>
        <v/>
      </c>
      <c r="G252" s="14" t="str">
        <f aca="false">IF(E252="","",'Reference Tables'!$C$14)</f>
        <v/>
      </c>
      <c r="H252" s="12" t="str">
        <f aca="false">IF(E252="","",IF(E252&gt;=150,"Yes","No"))</f>
        <v/>
      </c>
      <c r="I252" s="13" t="str">
        <f aca="false">IF(E252="","",IF(H252="Yes",E252*G252,0))</f>
        <v/>
      </c>
      <c r="J252" s="13" t="str">
        <f aca="false">IF(E252="","",E252-I252)</f>
        <v/>
      </c>
      <c r="K252" s="6"/>
      <c r="L252" s="6"/>
    </row>
    <row r="253" customFormat="false" ht="15" hidden="false" customHeight="false" outlineLevel="0" collapsed="false">
      <c r="A253" s="11"/>
      <c r="B253" s="6"/>
      <c r="C253" s="12" t="str">
        <f aca="false">IF(B253="","",IFERROR(INDEX('Silver Registry'!$B$4:$B$103,MATCH(B253,'Silver Registry'!$A$4:$A$103,0)),"Not found"))</f>
        <v/>
      </c>
      <c r="D253" s="6"/>
      <c r="E253" s="13" t="str">
        <f aca="false">IF(D253="","",IFERROR(INDEX('Reference Tables'!$B$3:$B$8,MATCH(D253,'Reference Tables'!$A$3:$A$8,0)),"Invalid package"))</f>
        <v/>
      </c>
      <c r="F253" s="12" t="str">
        <f aca="false">IF(D253="","",IFERROR(INDEX('Reference Tables'!$C$3:$C$8,MATCH(D253,'Reference Tables'!$A$3:$A$8,0)),"Invalid package"))</f>
        <v/>
      </c>
      <c r="G253" s="14" t="str">
        <f aca="false">IF(E253="","",'Reference Tables'!$C$14)</f>
        <v/>
      </c>
      <c r="H253" s="12" t="str">
        <f aca="false">IF(E253="","",IF(E253&gt;=150,"Yes","No"))</f>
        <v/>
      </c>
      <c r="I253" s="13" t="str">
        <f aca="false">IF(E253="","",IF(H253="Yes",E253*G253,0))</f>
        <v/>
      </c>
      <c r="J253" s="13" t="str">
        <f aca="false">IF(E253="","",E253-I253)</f>
        <v/>
      </c>
      <c r="K253" s="6"/>
      <c r="L253" s="6"/>
    </row>
  </sheetData>
  <dataValidations count="1">
    <dataValidation allowBlank="true" errorStyle="stop" operator="between" showDropDown="false" showErrorMessage="false" showInputMessage="false" sqref="D4:D253" type="list">
      <formula1>'Reference Tables'!$A$3:$A$8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16"/>
    <col collapsed="false" customWidth="true" hidden="false" outlineLevel="0" max="4" min="4" style="0" width="15"/>
    <col collapsed="false" customWidth="true" hidden="false" outlineLevel="0" max="5" min="5" style="0" width="16"/>
    <col collapsed="false" customWidth="true" hidden="false" outlineLevel="0" max="6" min="6" style="0" width="13"/>
    <col collapsed="false" customWidth="true" hidden="false" outlineLevel="0" max="7" min="7" style="0" width="14"/>
    <col collapsed="false" customWidth="true" hidden="false" outlineLevel="0" max="8" min="8" style="0" width="12"/>
    <col collapsed="false" customWidth="true" hidden="false" outlineLevel="0" max="9" min="9" style="0" width="14"/>
    <col collapsed="false" customWidth="true" hidden="false" outlineLevel="0" max="10" min="10" style="0" width="16"/>
    <col collapsed="false" customWidth="true" hidden="false" outlineLevel="0" max="11" min="11" style="0" width="26"/>
  </cols>
  <sheetData>
    <row r="1" customFormat="false" ht="17.35" hidden="false" customHeight="false" outlineLevel="0" collapsed="false">
      <c r="A1" s="1" t="s">
        <v>87</v>
      </c>
    </row>
    <row r="2" customFormat="false" ht="15" hidden="false" customHeight="false" outlineLevel="0" collapsed="false">
      <c r="A2" s="2" t="s">
        <v>88</v>
      </c>
    </row>
    <row r="3" customFormat="false" ht="31.5" hidden="false" customHeight="true" outlineLevel="0" collapsed="false">
      <c r="A3" s="17" t="s">
        <v>53</v>
      </c>
      <c r="B3" s="17" t="s">
        <v>54</v>
      </c>
      <c r="C3" s="17" t="s">
        <v>55</v>
      </c>
      <c r="D3" s="17" t="s">
        <v>56</v>
      </c>
      <c r="E3" s="17" t="s">
        <v>80</v>
      </c>
      <c r="F3" s="17" t="s">
        <v>81</v>
      </c>
      <c r="G3" s="17" t="s">
        <v>57</v>
      </c>
      <c r="H3" s="17" t="s">
        <v>58</v>
      </c>
      <c r="I3" s="17" t="s">
        <v>82</v>
      </c>
      <c r="J3" s="17" t="s">
        <v>59</v>
      </c>
      <c r="K3" s="17" t="s">
        <v>60</v>
      </c>
    </row>
    <row r="4" customFormat="false" ht="15" hidden="false" customHeight="false" outlineLevel="0" collapsed="false">
      <c r="A4" s="6" t="s">
        <v>89</v>
      </c>
      <c r="B4" s="6" t="s">
        <v>62</v>
      </c>
      <c r="C4" s="6" t="s">
        <v>63</v>
      </c>
      <c r="D4" s="11" t="s">
        <v>64</v>
      </c>
      <c r="E4" s="6" t="s">
        <v>83</v>
      </c>
      <c r="F4" s="12" t="n">
        <f aca="false">IF(E4="",0,IFERROR(INDEX('Silver Registry'!$H$4:$H$103,MATCH(E4,'Silver Registry'!$A$4:$A$103,0)),0))</f>
        <v>20</v>
      </c>
      <c r="G4" s="12" t="n">
        <f aca="false">IF(A4="","",SUMIFS('Gold Log'!$F$4:$F$1000,'Gold Log'!$B$4:$B$1000,A4))</f>
        <v>10</v>
      </c>
      <c r="H4" s="12" t="n">
        <f aca="false">IF(A4="","",F4+G4)</f>
        <v>30</v>
      </c>
      <c r="I4" s="6" t="s">
        <v>84</v>
      </c>
      <c r="J4" s="16" t="s">
        <v>65</v>
      </c>
      <c r="K4" s="12" t="str">
        <f aca="false">IF(A4="","",IF(H4&gt;='Reference Tables'!$B$16,"Yes — issue Black card","-"))</f>
        <v>-</v>
      </c>
    </row>
    <row r="5" customFormat="false" ht="15" hidden="false" customHeight="false" outlineLevel="0" collapsed="false">
      <c r="A5" s="6"/>
      <c r="B5" s="6"/>
      <c r="C5" s="6"/>
      <c r="D5" s="11"/>
      <c r="E5" s="6"/>
      <c r="F5" s="12" t="n">
        <f aca="false">IF(E5="",0,IFERROR(INDEX('Silver Registry'!$H$4:$H$103,MATCH(E5,'Silver Registry'!$A$4:$A$103,0)),0))</f>
        <v>0</v>
      </c>
      <c r="G5" s="12" t="str">
        <f aca="false">IF(A5="","",SUMIFS('Gold Log'!$F$4:$F$1000,'Gold Log'!$B$4:$B$1000,A5))</f>
        <v/>
      </c>
      <c r="H5" s="12" t="str">
        <f aca="false">IF(A5="","",F5+G5)</f>
        <v/>
      </c>
      <c r="I5" s="6"/>
      <c r="J5" s="16"/>
      <c r="K5" s="12" t="str">
        <f aca="false">IF(A5="","",IF(H5&gt;='Reference Tables'!$B$16,"Yes — issue Black card","-"))</f>
        <v/>
      </c>
    </row>
    <row r="6" customFormat="false" ht="15" hidden="false" customHeight="false" outlineLevel="0" collapsed="false">
      <c r="A6" s="6"/>
      <c r="B6" s="6"/>
      <c r="C6" s="6"/>
      <c r="D6" s="11"/>
      <c r="E6" s="6"/>
      <c r="F6" s="12" t="n">
        <f aca="false">IF(E6="",0,IFERROR(INDEX('Silver Registry'!$H$4:$H$103,MATCH(E6,'Silver Registry'!$A$4:$A$103,0)),0))</f>
        <v>0</v>
      </c>
      <c r="G6" s="12" t="str">
        <f aca="false">IF(A6="","",SUMIFS('Gold Log'!$F$4:$F$1000,'Gold Log'!$B$4:$B$1000,A6))</f>
        <v/>
      </c>
      <c r="H6" s="12" t="str">
        <f aca="false">IF(A6="","",F6+G6)</f>
        <v/>
      </c>
      <c r="I6" s="6"/>
      <c r="J6" s="16"/>
      <c r="K6" s="12" t="str">
        <f aca="false">IF(A6="","",IF(H6&gt;='Reference Tables'!$B$16,"Yes — issue Black card","-"))</f>
        <v/>
      </c>
    </row>
    <row r="7" customFormat="false" ht="15" hidden="false" customHeight="false" outlineLevel="0" collapsed="false">
      <c r="A7" s="6"/>
      <c r="B7" s="6"/>
      <c r="C7" s="6"/>
      <c r="D7" s="11"/>
      <c r="E7" s="6"/>
      <c r="F7" s="12" t="n">
        <f aca="false">IF(E7="",0,IFERROR(INDEX('Silver Registry'!$H$4:$H$103,MATCH(E7,'Silver Registry'!$A$4:$A$103,0)),0))</f>
        <v>0</v>
      </c>
      <c r="G7" s="12" t="str">
        <f aca="false">IF(A7="","",SUMIFS('Gold Log'!$F$4:$F$1000,'Gold Log'!$B$4:$B$1000,A7))</f>
        <v/>
      </c>
      <c r="H7" s="12" t="str">
        <f aca="false">IF(A7="","",F7+G7)</f>
        <v/>
      </c>
      <c r="I7" s="6"/>
      <c r="J7" s="16"/>
      <c r="K7" s="12" t="str">
        <f aca="false">IF(A7="","",IF(H7&gt;='Reference Tables'!$B$16,"Yes — issue Black card","-"))</f>
        <v/>
      </c>
    </row>
    <row r="8" customFormat="false" ht="15" hidden="false" customHeight="false" outlineLevel="0" collapsed="false">
      <c r="A8" s="6"/>
      <c r="B8" s="6"/>
      <c r="C8" s="6"/>
      <c r="D8" s="11"/>
      <c r="E8" s="6"/>
      <c r="F8" s="12" t="n">
        <f aca="false">IF(E8="",0,IFERROR(INDEX('Silver Registry'!$H$4:$H$103,MATCH(E8,'Silver Registry'!$A$4:$A$103,0)),0))</f>
        <v>0</v>
      </c>
      <c r="G8" s="12" t="str">
        <f aca="false">IF(A8="","",SUMIFS('Gold Log'!$F$4:$F$1000,'Gold Log'!$B$4:$B$1000,A8))</f>
        <v/>
      </c>
      <c r="H8" s="12" t="str">
        <f aca="false">IF(A8="","",F8+G8)</f>
        <v/>
      </c>
      <c r="I8" s="6"/>
      <c r="J8" s="16"/>
      <c r="K8" s="12" t="str">
        <f aca="false">IF(A8="","",IF(H8&gt;='Reference Tables'!$B$16,"Yes — issue Black card","-"))</f>
        <v/>
      </c>
    </row>
    <row r="9" customFormat="false" ht="15" hidden="false" customHeight="false" outlineLevel="0" collapsed="false">
      <c r="A9" s="6"/>
      <c r="B9" s="6"/>
      <c r="C9" s="6"/>
      <c r="D9" s="11"/>
      <c r="E9" s="6"/>
      <c r="F9" s="12" t="n">
        <f aca="false">IF(E9="",0,IFERROR(INDEX('Silver Registry'!$H$4:$H$103,MATCH(E9,'Silver Registry'!$A$4:$A$103,0)),0))</f>
        <v>0</v>
      </c>
      <c r="G9" s="12" t="str">
        <f aca="false">IF(A9="","",SUMIFS('Gold Log'!$F$4:$F$1000,'Gold Log'!$B$4:$B$1000,A9))</f>
        <v/>
      </c>
      <c r="H9" s="12" t="str">
        <f aca="false">IF(A9="","",F9+G9)</f>
        <v/>
      </c>
      <c r="I9" s="6"/>
      <c r="J9" s="16"/>
      <c r="K9" s="12" t="str">
        <f aca="false">IF(A9="","",IF(H9&gt;='Reference Tables'!$B$16,"Yes — issue Black card","-"))</f>
        <v/>
      </c>
    </row>
    <row r="10" customFormat="false" ht="15" hidden="false" customHeight="false" outlineLevel="0" collapsed="false">
      <c r="A10" s="6"/>
      <c r="B10" s="6"/>
      <c r="C10" s="6"/>
      <c r="D10" s="11"/>
      <c r="E10" s="6"/>
      <c r="F10" s="12" t="n">
        <f aca="false">IF(E10="",0,IFERROR(INDEX('Silver Registry'!$H$4:$H$103,MATCH(E10,'Silver Registry'!$A$4:$A$103,0)),0))</f>
        <v>0</v>
      </c>
      <c r="G10" s="12" t="str">
        <f aca="false">IF(A10="","",SUMIFS('Gold Log'!$F$4:$F$1000,'Gold Log'!$B$4:$B$1000,A10))</f>
        <v/>
      </c>
      <c r="H10" s="12" t="str">
        <f aca="false">IF(A10="","",F10+G10)</f>
        <v/>
      </c>
      <c r="I10" s="6"/>
      <c r="J10" s="16"/>
      <c r="K10" s="12" t="str">
        <f aca="false">IF(A10="","",IF(H10&gt;='Reference Tables'!$B$16,"Yes — issue Black card","-"))</f>
        <v/>
      </c>
    </row>
    <row r="11" customFormat="false" ht="15" hidden="false" customHeight="false" outlineLevel="0" collapsed="false">
      <c r="A11" s="6"/>
      <c r="B11" s="6"/>
      <c r="C11" s="6"/>
      <c r="D11" s="11"/>
      <c r="E11" s="6"/>
      <c r="F11" s="12" t="n">
        <f aca="false">IF(E11="",0,IFERROR(INDEX('Silver Registry'!$H$4:$H$103,MATCH(E11,'Silver Registry'!$A$4:$A$103,0)),0))</f>
        <v>0</v>
      </c>
      <c r="G11" s="12" t="str">
        <f aca="false">IF(A11="","",SUMIFS('Gold Log'!$F$4:$F$1000,'Gold Log'!$B$4:$B$1000,A11))</f>
        <v/>
      </c>
      <c r="H11" s="12" t="str">
        <f aca="false">IF(A11="","",F11+G11)</f>
        <v/>
      </c>
      <c r="I11" s="6"/>
      <c r="J11" s="16"/>
      <c r="K11" s="12" t="str">
        <f aca="false">IF(A11="","",IF(H11&gt;='Reference Tables'!$B$16,"Yes — issue Black card","-"))</f>
        <v/>
      </c>
    </row>
    <row r="12" customFormat="false" ht="15" hidden="false" customHeight="false" outlineLevel="0" collapsed="false">
      <c r="A12" s="6"/>
      <c r="B12" s="6"/>
      <c r="C12" s="6"/>
      <c r="D12" s="11"/>
      <c r="E12" s="6"/>
      <c r="F12" s="12" t="n">
        <f aca="false">IF(E12="",0,IFERROR(INDEX('Silver Registry'!$H$4:$H$103,MATCH(E12,'Silver Registry'!$A$4:$A$103,0)),0))</f>
        <v>0</v>
      </c>
      <c r="G12" s="12" t="str">
        <f aca="false">IF(A12="","",SUMIFS('Gold Log'!$F$4:$F$1000,'Gold Log'!$B$4:$B$1000,A12))</f>
        <v/>
      </c>
      <c r="H12" s="12" t="str">
        <f aca="false">IF(A12="","",F12+G12)</f>
        <v/>
      </c>
      <c r="I12" s="6"/>
      <c r="J12" s="16"/>
      <c r="K12" s="12" t="str">
        <f aca="false">IF(A12="","",IF(H12&gt;='Reference Tables'!$B$16,"Yes — issue Black card","-"))</f>
        <v/>
      </c>
    </row>
    <row r="13" customFormat="false" ht="15" hidden="false" customHeight="false" outlineLevel="0" collapsed="false">
      <c r="A13" s="6"/>
      <c r="B13" s="6"/>
      <c r="C13" s="6"/>
      <c r="D13" s="11"/>
      <c r="E13" s="6"/>
      <c r="F13" s="12" t="n">
        <f aca="false">IF(E13="",0,IFERROR(INDEX('Silver Registry'!$H$4:$H$103,MATCH(E13,'Silver Registry'!$A$4:$A$103,0)),0))</f>
        <v>0</v>
      </c>
      <c r="G13" s="12" t="str">
        <f aca="false">IF(A13="","",SUMIFS('Gold Log'!$F$4:$F$1000,'Gold Log'!$B$4:$B$1000,A13))</f>
        <v/>
      </c>
      <c r="H13" s="12" t="str">
        <f aca="false">IF(A13="","",F13+G13)</f>
        <v/>
      </c>
      <c r="I13" s="6"/>
      <c r="J13" s="16"/>
      <c r="K13" s="12" t="str">
        <f aca="false">IF(A13="","",IF(H13&gt;='Reference Tables'!$B$16,"Yes — issue Black card","-"))</f>
        <v/>
      </c>
    </row>
    <row r="14" customFormat="false" ht="15" hidden="false" customHeight="false" outlineLevel="0" collapsed="false">
      <c r="A14" s="6"/>
      <c r="B14" s="6"/>
      <c r="C14" s="6"/>
      <c r="D14" s="11"/>
      <c r="E14" s="6"/>
      <c r="F14" s="12" t="n">
        <f aca="false">IF(E14="",0,IFERROR(INDEX('Silver Registry'!$H$4:$H$103,MATCH(E14,'Silver Registry'!$A$4:$A$103,0)),0))</f>
        <v>0</v>
      </c>
      <c r="G14" s="12" t="str">
        <f aca="false">IF(A14="","",SUMIFS('Gold Log'!$F$4:$F$1000,'Gold Log'!$B$4:$B$1000,A14))</f>
        <v/>
      </c>
      <c r="H14" s="12" t="str">
        <f aca="false">IF(A14="","",F14+G14)</f>
        <v/>
      </c>
      <c r="I14" s="6"/>
      <c r="J14" s="16"/>
      <c r="K14" s="12" t="str">
        <f aca="false">IF(A14="","",IF(H14&gt;='Reference Tables'!$B$16,"Yes — issue Black card","-"))</f>
        <v/>
      </c>
    </row>
    <row r="15" customFormat="false" ht="15" hidden="false" customHeight="false" outlineLevel="0" collapsed="false">
      <c r="A15" s="6"/>
      <c r="B15" s="6"/>
      <c r="C15" s="6"/>
      <c r="D15" s="11"/>
      <c r="E15" s="6"/>
      <c r="F15" s="12" t="n">
        <f aca="false">IF(E15="",0,IFERROR(INDEX('Silver Registry'!$H$4:$H$103,MATCH(E15,'Silver Registry'!$A$4:$A$103,0)),0))</f>
        <v>0</v>
      </c>
      <c r="G15" s="12" t="str">
        <f aca="false">IF(A15="","",SUMIFS('Gold Log'!$F$4:$F$1000,'Gold Log'!$B$4:$B$1000,A15))</f>
        <v/>
      </c>
      <c r="H15" s="12" t="str">
        <f aca="false">IF(A15="","",F15+G15)</f>
        <v/>
      </c>
      <c r="I15" s="6"/>
      <c r="J15" s="16"/>
      <c r="K15" s="12" t="str">
        <f aca="false">IF(A15="","",IF(H15&gt;='Reference Tables'!$B$16,"Yes — issue Black card","-"))</f>
        <v/>
      </c>
    </row>
    <row r="16" customFormat="false" ht="15" hidden="false" customHeight="false" outlineLevel="0" collapsed="false">
      <c r="A16" s="6"/>
      <c r="B16" s="6"/>
      <c r="C16" s="6"/>
      <c r="D16" s="11"/>
      <c r="E16" s="6"/>
      <c r="F16" s="12" t="n">
        <f aca="false">IF(E16="",0,IFERROR(INDEX('Silver Registry'!$H$4:$H$103,MATCH(E16,'Silver Registry'!$A$4:$A$103,0)),0))</f>
        <v>0</v>
      </c>
      <c r="G16" s="12" t="str">
        <f aca="false">IF(A16="","",SUMIFS('Gold Log'!$F$4:$F$1000,'Gold Log'!$B$4:$B$1000,A16))</f>
        <v/>
      </c>
      <c r="H16" s="12" t="str">
        <f aca="false">IF(A16="","",F16+G16)</f>
        <v/>
      </c>
      <c r="I16" s="6"/>
      <c r="J16" s="16"/>
      <c r="K16" s="12" t="str">
        <f aca="false">IF(A16="","",IF(H16&gt;='Reference Tables'!$B$16,"Yes — issue Black card","-"))</f>
        <v/>
      </c>
    </row>
    <row r="17" customFormat="false" ht="15" hidden="false" customHeight="false" outlineLevel="0" collapsed="false">
      <c r="A17" s="6"/>
      <c r="B17" s="6"/>
      <c r="C17" s="6"/>
      <c r="D17" s="11"/>
      <c r="E17" s="6"/>
      <c r="F17" s="12" t="n">
        <f aca="false">IF(E17="",0,IFERROR(INDEX('Silver Registry'!$H$4:$H$103,MATCH(E17,'Silver Registry'!$A$4:$A$103,0)),0))</f>
        <v>0</v>
      </c>
      <c r="G17" s="12" t="str">
        <f aca="false">IF(A17="","",SUMIFS('Gold Log'!$F$4:$F$1000,'Gold Log'!$B$4:$B$1000,A17))</f>
        <v/>
      </c>
      <c r="H17" s="12" t="str">
        <f aca="false">IF(A17="","",F17+G17)</f>
        <v/>
      </c>
      <c r="I17" s="6"/>
      <c r="J17" s="16"/>
      <c r="K17" s="12" t="str">
        <f aca="false">IF(A17="","",IF(H17&gt;='Reference Tables'!$B$16,"Yes — issue Black card","-"))</f>
        <v/>
      </c>
    </row>
    <row r="18" customFormat="false" ht="15" hidden="false" customHeight="false" outlineLevel="0" collapsed="false">
      <c r="A18" s="6"/>
      <c r="B18" s="6"/>
      <c r="C18" s="6"/>
      <c r="D18" s="11"/>
      <c r="E18" s="6"/>
      <c r="F18" s="12" t="n">
        <f aca="false">IF(E18="",0,IFERROR(INDEX('Silver Registry'!$H$4:$H$103,MATCH(E18,'Silver Registry'!$A$4:$A$103,0)),0))</f>
        <v>0</v>
      </c>
      <c r="G18" s="12" t="str">
        <f aca="false">IF(A18="","",SUMIFS('Gold Log'!$F$4:$F$1000,'Gold Log'!$B$4:$B$1000,A18))</f>
        <v/>
      </c>
      <c r="H18" s="12" t="str">
        <f aca="false">IF(A18="","",F18+G18)</f>
        <v/>
      </c>
      <c r="I18" s="6"/>
      <c r="J18" s="16"/>
      <c r="K18" s="12" t="str">
        <f aca="false">IF(A18="","",IF(H18&gt;='Reference Tables'!$B$16,"Yes — issue Black card","-"))</f>
        <v/>
      </c>
    </row>
    <row r="19" customFormat="false" ht="15" hidden="false" customHeight="false" outlineLevel="0" collapsed="false">
      <c r="A19" s="6"/>
      <c r="B19" s="6"/>
      <c r="C19" s="6"/>
      <c r="D19" s="11"/>
      <c r="E19" s="6"/>
      <c r="F19" s="12" t="n">
        <f aca="false">IF(E19="",0,IFERROR(INDEX('Silver Registry'!$H$4:$H$103,MATCH(E19,'Silver Registry'!$A$4:$A$103,0)),0))</f>
        <v>0</v>
      </c>
      <c r="G19" s="12" t="str">
        <f aca="false">IF(A19="","",SUMIFS('Gold Log'!$F$4:$F$1000,'Gold Log'!$B$4:$B$1000,A19))</f>
        <v/>
      </c>
      <c r="H19" s="12" t="str">
        <f aca="false">IF(A19="","",F19+G19)</f>
        <v/>
      </c>
      <c r="I19" s="6"/>
      <c r="J19" s="16"/>
      <c r="K19" s="12" t="str">
        <f aca="false">IF(A19="","",IF(H19&gt;='Reference Tables'!$B$16,"Yes — issue Black card","-"))</f>
        <v/>
      </c>
    </row>
    <row r="20" customFormat="false" ht="15" hidden="false" customHeight="false" outlineLevel="0" collapsed="false">
      <c r="A20" s="6"/>
      <c r="B20" s="6"/>
      <c r="C20" s="6"/>
      <c r="D20" s="11"/>
      <c r="E20" s="6"/>
      <c r="F20" s="12" t="n">
        <f aca="false">IF(E20="",0,IFERROR(INDEX('Silver Registry'!$H$4:$H$103,MATCH(E20,'Silver Registry'!$A$4:$A$103,0)),0))</f>
        <v>0</v>
      </c>
      <c r="G20" s="12" t="str">
        <f aca="false">IF(A20="","",SUMIFS('Gold Log'!$F$4:$F$1000,'Gold Log'!$B$4:$B$1000,A20))</f>
        <v/>
      </c>
      <c r="H20" s="12" t="str">
        <f aca="false">IF(A20="","",F20+G20)</f>
        <v/>
      </c>
      <c r="I20" s="6"/>
      <c r="J20" s="16"/>
      <c r="K20" s="12" t="str">
        <f aca="false">IF(A20="","",IF(H20&gt;='Reference Tables'!$B$16,"Yes — issue Black card","-"))</f>
        <v/>
      </c>
    </row>
    <row r="21" customFormat="false" ht="15" hidden="false" customHeight="false" outlineLevel="0" collapsed="false">
      <c r="A21" s="6"/>
      <c r="B21" s="6"/>
      <c r="C21" s="6"/>
      <c r="D21" s="11"/>
      <c r="E21" s="6"/>
      <c r="F21" s="12" t="n">
        <f aca="false">IF(E21="",0,IFERROR(INDEX('Silver Registry'!$H$4:$H$103,MATCH(E21,'Silver Registry'!$A$4:$A$103,0)),0))</f>
        <v>0</v>
      </c>
      <c r="G21" s="12" t="str">
        <f aca="false">IF(A21="","",SUMIFS('Gold Log'!$F$4:$F$1000,'Gold Log'!$B$4:$B$1000,A21))</f>
        <v/>
      </c>
      <c r="H21" s="12" t="str">
        <f aca="false">IF(A21="","",F21+G21)</f>
        <v/>
      </c>
      <c r="I21" s="6"/>
      <c r="J21" s="16"/>
      <c r="K21" s="12" t="str">
        <f aca="false">IF(A21="","",IF(H21&gt;='Reference Tables'!$B$16,"Yes — issue Black card","-"))</f>
        <v/>
      </c>
    </row>
    <row r="22" customFormat="false" ht="15" hidden="false" customHeight="false" outlineLevel="0" collapsed="false">
      <c r="A22" s="6"/>
      <c r="B22" s="6"/>
      <c r="C22" s="6"/>
      <c r="D22" s="11"/>
      <c r="E22" s="6"/>
      <c r="F22" s="12" t="n">
        <f aca="false">IF(E22="",0,IFERROR(INDEX('Silver Registry'!$H$4:$H$103,MATCH(E22,'Silver Registry'!$A$4:$A$103,0)),0))</f>
        <v>0</v>
      </c>
      <c r="G22" s="12" t="str">
        <f aca="false">IF(A22="","",SUMIFS('Gold Log'!$F$4:$F$1000,'Gold Log'!$B$4:$B$1000,A22))</f>
        <v/>
      </c>
      <c r="H22" s="12" t="str">
        <f aca="false">IF(A22="","",F22+G22)</f>
        <v/>
      </c>
      <c r="I22" s="6"/>
      <c r="J22" s="16"/>
      <c r="K22" s="12" t="str">
        <f aca="false">IF(A22="","",IF(H22&gt;='Reference Tables'!$B$16,"Yes — issue Black card","-"))</f>
        <v/>
      </c>
    </row>
    <row r="23" customFormat="false" ht="15" hidden="false" customHeight="false" outlineLevel="0" collapsed="false">
      <c r="A23" s="6"/>
      <c r="B23" s="6"/>
      <c r="C23" s="6"/>
      <c r="D23" s="11"/>
      <c r="E23" s="6"/>
      <c r="F23" s="12" t="n">
        <f aca="false">IF(E23="",0,IFERROR(INDEX('Silver Registry'!$H$4:$H$103,MATCH(E23,'Silver Registry'!$A$4:$A$103,0)),0))</f>
        <v>0</v>
      </c>
      <c r="G23" s="12" t="str">
        <f aca="false">IF(A23="","",SUMIFS('Gold Log'!$F$4:$F$1000,'Gold Log'!$B$4:$B$1000,A23))</f>
        <v/>
      </c>
      <c r="H23" s="12" t="str">
        <f aca="false">IF(A23="","",F23+G23)</f>
        <v/>
      </c>
      <c r="I23" s="6"/>
      <c r="J23" s="16"/>
      <c r="K23" s="12" t="str">
        <f aca="false">IF(A23="","",IF(H23&gt;='Reference Tables'!$B$16,"Yes — issue Black card","-"))</f>
        <v/>
      </c>
    </row>
    <row r="24" customFormat="false" ht="15" hidden="false" customHeight="false" outlineLevel="0" collapsed="false">
      <c r="A24" s="6"/>
      <c r="B24" s="6"/>
      <c r="C24" s="6"/>
      <c r="D24" s="11"/>
      <c r="E24" s="6"/>
      <c r="F24" s="12" t="n">
        <f aca="false">IF(E24="",0,IFERROR(INDEX('Silver Registry'!$H$4:$H$103,MATCH(E24,'Silver Registry'!$A$4:$A$103,0)),0))</f>
        <v>0</v>
      </c>
      <c r="G24" s="12" t="str">
        <f aca="false">IF(A24="","",SUMIFS('Gold Log'!$F$4:$F$1000,'Gold Log'!$B$4:$B$1000,A24))</f>
        <v/>
      </c>
      <c r="H24" s="12" t="str">
        <f aca="false">IF(A24="","",F24+G24)</f>
        <v/>
      </c>
      <c r="I24" s="6"/>
      <c r="J24" s="16"/>
      <c r="K24" s="12" t="str">
        <f aca="false">IF(A24="","",IF(H24&gt;='Reference Tables'!$B$16,"Yes — issue Black card","-"))</f>
        <v/>
      </c>
    </row>
    <row r="25" customFormat="false" ht="15" hidden="false" customHeight="false" outlineLevel="0" collapsed="false">
      <c r="A25" s="6"/>
      <c r="B25" s="6"/>
      <c r="C25" s="6"/>
      <c r="D25" s="11"/>
      <c r="E25" s="6"/>
      <c r="F25" s="12" t="n">
        <f aca="false">IF(E25="",0,IFERROR(INDEX('Silver Registry'!$H$4:$H$103,MATCH(E25,'Silver Registry'!$A$4:$A$103,0)),0))</f>
        <v>0</v>
      </c>
      <c r="G25" s="12" t="str">
        <f aca="false">IF(A25="","",SUMIFS('Gold Log'!$F$4:$F$1000,'Gold Log'!$B$4:$B$1000,A25))</f>
        <v/>
      </c>
      <c r="H25" s="12" t="str">
        <f aca="false">IF(A25="","",F25+G25)</f>
        <v/>
      </c>
      <c r="I25" s="6"/>
      <c r="J25" s="16"/>
      <c r="K25" s="12" t="str">
        <f aca="false">IF(A25="","",IF(H25&gt;='Reference Tables'!$B$16,"Yes — issue Black card","-"))</f>
        <v/>
      </c>
    </row>
    <row r="26" customFormat="false" ht="15" hidden="false" customHeight="false" outlineLevel="0" collapsed="false">
      <c r="A26" s="6"/>
      <c r="B26" s="6"/>
      <c r="C26" s="6"/>
      <c r="D26" s="11"/>
      <c r="E26" s="6"/>
      <c r="F26" s="12" t="n">
        <f aca="false">IF(E26="",0,IFERROR(INDEX('Silver Registry'!$H$4:$H$103,MATCH(E26,'Silver Registry'!$A$4:$A$103,0)),0))</f>
        <v>0</v>
      </c>
      <c r="G26" s="12" t="str">
        <f aca="false">IF(A26="","",SUMIFS('Gold Log'!$F$4:$F$1000,'Gold Log'!$B$4:$B$1000,A26))</f>
        <v/>
      </c>
      <c r="H26" s="12" t="str">
        <f aca="false">IF(A26="","",F26+G26)</f>
        <v/>
      </c>
      <c r="I26" s="6"/>
      <c r="J26" s="16"/>
      <c r="K26" s="12" t="str">
        <f aca="false">IF(A26="","",IF(H26&gt;='Reference Tables'!$B$16,"Yes — issue Black card","-"))</f>
        <v/>
      </c>
    </row>
    <row r="27" customFormat="false" ht="15" hidden="false" customHeight="false" outlineLevel="0" collapsed="false">
      <c r="A27" s="6"/>
      <c r="B27" s="6"/>
      <c r="C27" s="6"/>
      <c r="D27" s="11"/>
      <c r="E27" s="6"/>
      <c r="F27" s="12" t="n">
        <f aca="false">IF(E27="",0,IFERROR(INDEX('Silver Registry'!$H$4:$H$103,MATCH(E27,'Silver Registry'!$A$4:$A$103,0)),0))</f>
        <v>0</v>
      </c>
      <c r="G27" s="12" t="str">
        <f aca="false">IF(A27="","",SUMIFS('Gold Log'!$F$4:$F$1000,'Gold Log'!$B$4:$B$1000,A27))</f>
        <v/>
      </c>
      <c r="H27" s="12" t="str">
        <f aca="false">IF(A27="","",F27+G27)</f>
        <v/>
      </c>
      <c r="I27" s="6"/>
      <c r="J27" s="16"/>
      <c r="K27" s="12" t="str">
        <f aca="false">IF(A27="","",IF(H27&gt;='Reference Tables'!$B$16,"Yes — issue Black card","-"))</f>
        <v/>
      </c>
    </row>
    <row r="28" customFormat="false" ht="15" hidden="false" customHeight="false" outlineLevel="0" collapsed="false">
      <c r="A28" s="6"/>
      <c r="B28" s="6"/>
      <c r="C28" s="6"/>
      <c r="D28" s="11"/>
      <c r="E28" s="6"/>
      <c r="F28" s="12" t="n">
        <f aca="false">IF(E28="",0,IFERROR(INDEX('Silver Registry'!$H$4:$H$103,MATCH(E28,'Silver Registry'!$A$4:$A$103,0)),0))</f>
        <v>0</v>
      </c>
      <c r="G28" s="12" t="str">
        <f aca="false">IF(A28="","",SUMIFS('Gold Log'!$F$4:$F$1000,'Gold Log'!$B$4:$B$1000,A28))</f>
        <v/>
      </c>
      <c r="H28" s="12" t="str">
        <f aca="false">IF(A28="","",F28+G28)</f>
        <v/>
      </c>
      <c r="I28" s="6"/>
      <c r="J28" s="16"/>
      <c r="K28" s="12" t="str">
        <f aca="false">IF(A28="","",IF(H28&gt;='Reference Tables'!$B$16,"Yes — issue Black card","-"))</f>
        <v/>
      </c>
    </row>
    <row r="29" customFormat="false" ht="15" hidden="false" customHeight="false" outlineLevel="0" collapsed="false">
      <c r="A29" s="6"/>
      <c r="B29" s="6"/>
      <c r="C29" s="6"/>
      <c r="D29" s="11"/>
      <c r="E29" s="6"/>
      <c r="F29" s="12" t="n">
        <f aca="false">IF(E29="",0,IFERROR(INDEX('Silver Registry'!$H$4:$H$103,MATCH(E29,'Silver Registry'!$A$4:$A$103,0)),0))</f>
        <v>0</v>
      </c>
      <c r="G29" s="12" t="str">
        <f aca="false">IF(A29="","",SUMIFS('Gold Log'!$F$4:$F$1000,'Gold Log'!$B$4:$B$1000,A29))</f>
        <v/>
      </c>
      <c r="H29" s="12" t="str">
        <f aca="false">IF(A29="","",F29+G29)</f>
        <v/>
      </c>
      <c r="I29" s="6"/>
      <c r="J29" s="16"/>
      <c r="K29" s="12" t="str">
        <f aca="false">IF(A29="","",IF(H29&gt;='Reference Tables'!$B$16,"Yes — issue Black card","-"))</f>
        <v/>
      </c>
    </row>
    <row r="30" customFormat="false" ht="15" hidden="false" customHeight="false" outlineLevel="0" collapsed="false">
      <c r="A30" s="6"/>
      <c r="B30" s="6"/>
      <c r="C30" s="6"/>
      <c r="D30" s="11"/>
      <c r="E30" s="6"/>
      <c r="F30" s="12" t="n">
        <f aca="false">IF(E30="",0,IFERROR(INDEX('Silver Registry'!$H$4:$H$103,MATCH(E30,'Silver Registry'!$A$4:$A$103,0)),0))</f>
        <v>0</v>
      </c>
      <c r="G30" s="12" t="str">
        <f aca="false">IF(A30="","",SUMIFS('Gold Log'!$F$4:$F$1000,'Gold Log'!$B$4:$B$1000,A30))</f>
        <v/>
      </c>
      <c r="H30" s="12" t="str">
        <f aca="false">IF(A30="","",F30+G30)</f>
        <v/>
      </c>
      <c r="I30" s="6"/>
      <c r="J30" s="16"/>
      <c r="K30" s="12" t="str">
        <f aca="false">IF(A30="","",IF(H30&gt;='Reference Tables'!$B$16,"Yes — issue Black card","-"))</f>
        <v/>
      </c>
    </row>
    <row r="31" customFormat="false" ht="15" hidden="false" customHeight="false" outlineLevel="0" collapsed="false">
      <c r="A31" s="6"/>
      <c r="B31" s="6"/>
      <c r="C31" s="6"/>
      <c r="D31" s="11"/>
      <c r="E31" s="6"/>
      <c r="F31" s="12" t="n">
        <f aca="false">IF(E31="",0,IFERROR(INDEX('Silver Registry'!$H$4:$H$103,MATCH(E31,'Silver Registry'!$A$4:$A$103,0)),0))</f>
        <v>0</v>
      </c>
      <c r="G31" s="12" t="str">
        <f aca="false">IF(A31="","",SUMIFS('Gold Log'!$F$4:$F$1000,'Gold Log'!$B$4:$B$1000,A31))</f>
        <v/>
      </c>
      <c r="H31" s="12" t="str">
        <f aca="false">IF(A31="","",F31+G31)</f>
        <v/>
      </c>
      <c r="I31" s="6"/>
      <c r="J31" s="16"/>
      <c r="K31" s="12" t="str">
        <f aca="false">IF(A31="","",IF(H31&gt;='Reference Tables'!$B$16,"Yes — issue Black card","-"))</f>
        <v/>
      </c>
    </row>
    <row r="32" customFormat="false" ht="15" hidden="false" customHeight="false" outlineLevel="0" collapsed="false">
      <c r="A32" s="6"/>
      <c r="B32" s="6"/>
      <c r="C32" s="6"/>
      <c r="D32" s="11"/>
      <c r="E32" s="6"/>
      <c r="F32" s="12" t="n">
        <f aca="false">IF(E32="",0,IFERROR(INDEX('Silver Registry'!$H$4:$H$103,MATCH(E32,'Silver Registry'!$A$4:$A$103,0)),0))</f>
        <v>0</v>
      </c>
      <c r="G32" s="12" t="str">
        <f aca="false">IF(A32="","",SUMIFS('Gold Log'!$F$4:$F$1000,'Gold Log'!$B$4:$B$1000,A32))</f>
        <v/>
      </c>
      <c r="H32" s="12" t="str">
        <f aca="false">IF(A32="","",F32+G32)</f>
        <v/>
      </c>
      <c r="I32" s="6"/>
      <c r="J32" s="16"/>
      <c r="K32" s="12" t="str">
        <f aca="false">IF(A32="","",IF(H32&gt;='Reference Tables'!$B$16,"Yes — issue Black card","-"))</f>
        <v/>
      </c>
    </row>
    <row r="33" customFormat="false" ht="15" hidden="false" customHeight="false" outlineLevel="0" collapsed="false">
      <c r="A33" s="6"/>
      <c r="B33" s="6"/>
      <c r="C33" s="6"/>
      <c r="D33" s="11"/>
      <c r="E33" s="6"/>
      <c r="F33" s="12" t="n">
        <f aca="false">IF(E33="",0,IFERROR(INDEX('Silver Registry'!$H$4:$H$103,MATCH(E33,'Silver Registry'!$A$4:$A$103,0)),0))</f>
        <v>0</v>
      </c>
      <c r="G33" s="12" t="str">
        <f aca="false">IF(A33="","",SUMIFS('Gold Log'!$F$4:$F$1000,'Gold Log'!$B$4:$B$1000,A33))</f>
        <v/>
      </c>
      <c r="H33" s="12" t="str">
        <f aca="false">IF(A33="","",F33+G33)</f>
        <v/>
      </c>
      <c r="I33" s="6"/>
      <c r="J33" s="16"/>
      <c r="K33" s="12" t="str">
        <f aca="false">IF(A33="","",IF(H33&gt;='Reference Tables'!$B$16,"Yes — issue Black card","-"))</f>
        <v/>
      </c>
    </row>
    <row r="34" customFormat="false" ht="15" hidden="false" customHeight="false" outlineLevel="0" collapsed="false">
      <c r="A34" s="6"/>
      <c r="B34" s="6"/>
      <c r="C34" s="6"/>
      <c r="D34" s="11"/>
      <c r="E34" s="6"/>
      <c r="F34" s="12" t="n">
        <f aca="false">IF(E34="",0,IFERROR(INDEX('Silver Registry'!$H$4:$H$103,MATCH(E34,'Silver Registry'!$A$4:$A$103,0)),0))</f>
        <v>0</v>
      </c>
      <c r="G34" s="12" t="str">
        <f aca="false">IF(A34="","",SUMIFS('Gold Log'!$F$4:$F$1000,'Gold Log'!$B$4:$B$1000,A34))</f>
        <v/>
      </c>
      <c r="H34" s="12" t="str">
        <f aca="false">IF(A34="","",F34+G34)</f>
        <v/>
      </c>
      <c r="I34" s="6"/>
      <c r="J34" s="16"/>
      <c r="K34" s="12" t="str">
        <f aca="false">IF(A34="","",IF(H34&gt;='Reference Tables'!$B$16,"Yes — issue Black card","-"))</f>
        <v/>
      </c>
    </row>
    <row r="35" customFormat="false" ht="15" hidden="false" customHeight="false" outlineLevel="0" collapsed="false">
      <c r="A35" s="6"/>
      <c r="B35" s="6"/>
      <c r="C35" s="6"/>
      <c r="D35" s="11"/>
      <c r="E35" s="6"/>
      <c r="F35" s="12" t="n">
        <f aca="false">IF(E35="",0,IFERROR(INDEX('Silver Registry'!$H$4:$H$103,MATCH(E35,'Silver Registry'!$A$4:$A$103,0)),0))</f>
        <v>0</v>
      </c>
      <c r="G35" s="12" t="str">
        <f aca="false">IF(A35="","",SUMIFS('Gold Log'!$F$4:$F$1000,'Gold Log'!$B$4:$B$1000,A35))</f>
        <v/>
      </c>
      <c r="H35" s="12" t="str">
        <f aca="false">IF(A35="","",F35+G35)</f>
        <v/>
      </c>
      <c r="I35" s="6"/>
      <c r="J35" s="16"/>
      <c r="K35" s="12" t="str">
        <f aca="false">IF(A35="","",IF(H35&gt;='Reference Tables'!$B$16,"Yes — issue Black card","-"))</f>
        <v/>
      </c>
    </row>
    <row r="36" customFormat="false" ht="15" hidden="false" customHeight="false" outlineLevel="0" collapsed="false">
      <c r="A36" s="6"/>
      <c r="B36" s="6"/>
      <c r="C36" s="6"/>
      <c r="D36" s="11"/>
      <c r="E36" s="6"/>
      <c r="F36" s="12" t="n">
        <f aca="false">IF(E36="",0,IFERROR(INDEX('Silver Registry'!$H$4:$H$103,MATCH(E36,'Silver Registry'!$A$4:$A$103,0)),0))</f>
        <v>0</v>
      </c>
      <c r="G36" s="12" t="str">
        <f aca="false">IF(A36="","",SUMIFS('Gold Log'!$F$4:$F$1000,'Gold Log'!$B$4:$B$1000,A36))</f>
        <v/>
      </c>
      <c r="H36" s="12" t="str">
        <f aca="false">IF(A36="","",F36+G36)</f>
        <v/>
      </c>
      <c r="I36" s="6"/>
      <c r="J36" s="16"/>
      <c r="K36" s="12" t="str">
        <f aca="false">IF(A36="","",IF(H36&gt;='Reference Tables'!$B$16,"Yes — issue Black card","-"))</f>
        <v/>
      </c>
    </row>
    <row r="37" customFormat="false" ht="15" hidden="false" customHeight="false" outlineLevel="0" collapsed="false">
      <c r="A37" s="6"/>
      <c r="B37" s="6"/>
      <c r="C37" s="6"/>
      <c r="D37" s="11"/>
      <c r="E37" s="6"/>
      <c r="F37" s="12" t="n">
        <f aca="false">IF(E37="",0,IFERROR(INDEX('Silver Registry'!$H$4:$H$103,MATCH(E37,'Silver Registry'!$A$4:$A$103,0)),0))</f>
        <v>0</v>
      </c>
      <c r="G37" s="12" t="str">
        <f aca="false">IF(A37="","",SUMIFS('Gold Log'!$F$4:$F$1000,'Gold Log'!$B$4:$B$1000,A37))</f>
        <v/>
      </c>
      <c r="H37" s="12" t="str">
        <f aca="false">IF(A37="","",F37+G37)</f>
        <v/>
      </c>
      <c r="I37" s="6"/>
      <c r="J37" s="16"/>
      <c r="K37" s="12" t="str">
        <f aca="false">IF(A37="","",IF(H37&gt;='Reference Tables'!$B$16,"Yes — issue Black card","-"))</f>
        <v/>
      </c>
    </row>
    <row r="38" customFormat="false" ht="15" hidden="false" customHeight="false" outlineLevel="0" collapsed="false">
      <c r="A38" s="6"/>
      <c r="B38" s="6"/>
      <c r="C38" s="6"/>
      <c r="D38" s="11"/>
      <c r="E38" s="6"/>
      <c r="F38" s="12" t="n">
        <f aca="false">IF(E38="",0,IFERROR(INDEX('Silver Registry'!$H$4:$H$103,MATCH(E38,'Silver Registry'!$A$4:$A$103,0)),0))</f>
        <v>0</v>
      </c>
      <c r="G38" s="12" t="str">
        <f aca="false">IF(A38="","",SUMIFS('Gold Log'!$F$4:$F$1000,'Gold Log'!$B$4:$B$1000,A38))</f>
        <v/>
      </c>
      <c r="H38" s="12" t="str">
        <f aca="false">IF(A38="","",F38+G38)</f>
        <v/>
      </c>
      <c r="I38" s="6"/>
      <c r="J38" s="16"/>
      <c r="K38" s="12" t="str">
        <f aca="false">IF(A38="","",IF(H38&gt;='Reference Tables'!$B$16,"Yes — issue Black card","-"))</f>
        <v/>
      </c>
    </row>
    <row r="39" customFormat="false" ht="15" hidden="false" customHeight="false" outlineLevel="0" collapsed="false">
      <c r="A39" s="6"/>
      <c r="B39" s="6"/>
      <c r="C39" s="6"/>
      <c r="D39" s="11"/>
      <c r="E39" s="6"/>
      <c r="F39" s="12" t="n">
        <f aca="false">IF(E39="",0,IFERROR(INDEX('Silver Registry'!$H$4:$H$103,MATCH(E39,'Silver Registry'!$A$4:$A$103,0)),0))</f>
        <v>0</v>
      </c>
      <c r="G39" s="12" t="str">
        <f aca="false">IF(A39="","",SUMIFS('Gold Log'!$F$4:$F$1000,'Gold Log'!$B$4:$B$1000,A39))</f>
        <v/>
      </c>
      <c r="H39" s="12" t="str">
        <f aca="false">IF(A39="","",F39+G39)</f>
        <v/>
      </c>
      <c r="I39" s="6"/>
      <c r="J39" s="16"/>
      <c r="K39" s="12" t="str">
        <f aca="false">IF(A39="","",IF(H39&gt;='Reference Tables'!$B$16,"Yes — issue Black card","-"))</f>
        <v/>
      </c>
    </row>
    <row r="40" customFormat="false" ht="15" hidden="false" customHeight="false" outlineLevel="0" collapsed="false">
      <c r="A40" s="6"/>
      <c r="B40" s="6"/>
      <c r="C40" s="6"/>
      <c r="D40" s="11"/>
      <c r="E40" s="6"/>
      <c r="F40" s="12" t="n">
        <f aca="false">IF(E40="",0,IFERROR(INDEX('Silver Registry'!$H$4:$H$103,MATCH(E40,'Silver Registry'!$A$4:$A$103,0)),0))</f>
        <v>0</v>
      </c>
      <c r="G40" s="12" t="str">
        <f aca="false">IF(A40="","",SUMIFS('Gold Log'!$F$4:$F$1000,'Gold Log'!$B$4:$B$1000,A40))</f>
        <v/>
      </c>
      <c r="H40" s="12" t="str">
        <f aca="false">IF(A40="","",F40+G40)</f>
        <v/>
      </c>
      <c r="I40" s="6"/>
      <c r="J40" s="16"/>
      <c r="K40" s="12" t="str">
        <f aca="false">IF(A40="","",IF(H40&gt;='Reference Tables'!$B$16,"Yes — issue Black card","-"))</f>
        <v/>
      </c>
    </row>
    <row r="41" customFormat="false" ht="15" hidden="false" customHeight="false" outlineLevel="0" collapsed="false">
      <c r="A41" s="6"/>
      <c r="B41" s="6"/>
      <c r="C41" s="6"/>
      <c r="D41" s="11"/>
      <c r="E41" s="6"/>
      <c r="F41" s="12" t="n">
        <f aca="false">IF(E41="",0,IFERROR(INDEX('Silver Registry'!$H$4:$H$103,MATCH(E41,'Silver Registry'!$A$4:$A$103,0)),0))</f>
        <v>0</v>
      </c>
      <c r="G41" s="12" t="str">
        <f aca="false">IF(A41="","",SUMIFS('Gold Log'!$F$4:$F$1000,'Gold Log'!$B$4:$B$1000,A41))</f>
        <v/>
      </c>
      <c r="H41" s="12" t="str">
        <f aca="false">IF(A41="","",F41+G41)</f>
        <v/>
      </c>
      <c r="I41" s="6"/>
      <c r="J41" s="16"/>
      <c r="K41" s="12" t="str">
        <f aca="false">IF(A41="","",IF(H41&gt;='Reference Tables'!$B$16,"Yes — issue Black card","-"))</f>
        <v/>
      </c>
    </row>
    <row r="42" customFormat="false" ht="15" hidden="false" customHeight="false" outlineLevel="0" collapsed="false">
      <c r="A42" s="6"/>
      <c r="B42" s="6"/>
      <c r="C42" s="6"/>
      <c r="D42" s="11"/>
      <c r="E42" s="6"/>
      <c r="F42" s="12" t="n">
        <f aca="false">IF(E42="",0,IFERROR(INDEX('Silver Registry'!$H$4:$H$103,MATCH(E42,'Silver Registry'!$A$4:$A$103,0)),0))</f>
        <v>0</v>
      </c>
      <c r="G42" s="12" t="str">
        <f aca="false">IF(A42="","",SUMIFS('Gold Log'!$F$4:$F$1000,'Gold Log'!$B$4:$B$1000,A42))</f>
        <v/>
      </c>
      <c r="H42" s="12" t="str">
        <f aca="false">IF(A42="","",F42+G42)</f>
        <v/>
      </c>
      <c r="I42" s="6"/>
      <c r="J42" s="16"/>
      <c r="K42" s="12" t="str">
        <f aca="false">IF(A42="","",IF(H42&gt;='Reference Tables'!$B$16,"Yes — issue Black card","-"))</f>
        <v/>
      </c>
    </row>
    <row r="43" customFormat="false" ht="15" hidden="false" customHeight="false" outlineLevel="0" collapsed="false">
      <c r="A43" s="6"/>
      <c r="B43" s="6"/>
      <c r="C43" s="6"/>
      <c r="D43" s="11"/>
      <c r="E43" s="6"/>
      <c r="F43" s="12" t="n">
        <f aca="false">IF(E43="",0,IFERROR(INDEX('Silver Registry'!$H$4:$H$103,MATCH(E43,'Silver Registry'!$A$4:$A$103,0)),0))</f>
        <v>0</v>
      </c>
      <c r="G43" s="12" t="str">
        <f aca="false">IF(A43="","",SUMIFS('Gold Log'!$F$4:$F$1000,'Gold Log'!$B$4:$B$1000,A43))</f>
        <v/>
      </c>
      <c r="H43" s="12" t="str">
        <f aca="false">IF(A43="","",F43+G43)</f>
        <v/>
      </c>
      <c r="I43" s="6"/>
      <c r="J43" s="16"/>
      <c r="K43" s="12" t="str">
        <f aca="false">IF(A43="","",IF(H43&gt;='Reference Tables'!$B$16,"Yes — issue Black card","-"))</f>
        <v/>
      </c>
    </row>
    <row r="44" customFormat="false" ht="15" hidden="false" customHeight="false" outlineLevel="0" collapsed="false">
      <c r="A44" s="6"/>
      <c r="B44" s="6"/>
      <c r="C44" s="6"/>
      <c r="D44" s="11"/>
      <c r="E44" s="6"/>
      <c r="F44" s="12" t="n">
        <f aca="false">IF(E44="",0,IFERROR(INDEX('Silver Registry'!$H$4:$H$103,MATCH(E44,'Silver Registry'!$A$4:$A$103,0)),0))</f>
        <v>0</v>
      </c>
      <c r="G44" s="12" t="str">
        <f aca="false">IF(A44="","",SUMIFS('Gold Log'!$F$4:$F$1000,'Gold Log'!$B$4:$B$1000,A44))</f>
        <v/>
      </c>
      <c r="H44" s="12" t="str">
        <f aca="false">IF(A44="","",F44+G44)</f>
        <v/>
      </c>
      <c r="I44" s="6"/>
      <c r="J44" s="16"/>
      <c r="K44" s="12" t="str">
        <f aca="false">IF(A44="","",IF(H44&gt;='Reference Tables'!$B$16,"Yes — issue Black card","-"))</f>
        <v/>
      </c>
    </row>
    <row r="45" customFormat="false" ht="15" hidden="false" customHeight="false" outlineLevel="0" collapsed="false">
      <c r="A45" s="6"/>
      <c r="B45" s="6"/>
      <c r="C45" s="6"/>
      <c r="D45" s="11"/>
      <c r="E45" s="6"/>
      <c r="F45" s="12" t="n">
        <f aca="false">IF(E45="",0,IFERROR(INDEX('Silver Registry'!$H$4:$H$103,MATCH(E45,'Silver Registry'!$A$4:$A$103,0)),0))</f>
        <v>0</v>
      </c>
      <c r="G45" s="12" t="str">
        <f aca="false">IF(A45="","",SUMIFS('Gold Log'!$F$4:$F$1000,'Gold Log'!$B$4:$B$1000,A45))</f>
        <v/>
      </c>
      <c r="H45" s="12" t="str">
        <f aca="false">IF(A45="","",F45+G45)</f>
        <v/>
      </c>
      <c r="I45" s="6"/>
      <c r="J45" s="16"/>
      <c r="K45" s="12" t="str">
        <f aca="false">IF(A45="","",IF(H45&gt;='Reference Tables'!$B$16,"Yes — issue Black card","-"))</f>
        <v/>
      </c>
    </row>
    <row r="46" customFormat="false" ht="15" hidden="false" customHeight="false" outlineLevel="0" collapsed="false">
      <c r="A46" s="6"/>
      <c r="B46" s="6"/>
      <c r="C46" s="6"/>
      <c r="D46" s="11"/>
      <c r="E46" s="6"/>
      <c r="F46" s="12" t="n">
        <f aca="false">IF(E46="",0,IFERROR(INDEX('Silver Registry'!$H$4:$H$103,MATCH(E46,'Silver Registry'!$A$4:$A$103,0)),0))</f>
        <v>0</v>
      </c>
      <c r="G46" s="12" t="str">
        <f aca="false">IF(A46="","",SUMIFS('Gold Log'!$F$4:$F$1000,'Gold Log'!$B$4:$B$1000,A46))</f>
        <v/>
      </c>
      <c r="H46" s="12" t="str">
        <f aca="false">IF(A46="","",F46+G46)</f>
        <v/>
      </c>
      <c r="I46" s="6"/>
      <c r="J46" s="16"/>
      <c r="K46" s="12" t="str">
        <f aca="false">IF(A46="","",IF(H46&gt;='Reference Tables'!$B$16,"Yes — issue Black card","-"))</f>
        <v/>
      </c>
    </row>
    <row r="47" customFormat="false" ht="15" hidden="false" customHeight="false" outlineLevel="0" collapsed="false">
      <c r="A47" s="6"/>
      <c r="B47" s="6"/>
      <c r="C47" s="6"/>
      <c r="D47" s="11"/>
      <c r="E47" s="6"/>
      <c r="F47" s="12" t="n">
        <f aca="false">IF(E47="",0,IFERROR(INDEX('Silver Registry'!$H$4:$H$103,MATCH(E47,'Silver Registry'!$A$4:$A$103,0)),0))</f>
        <v>0</v>
      </c>
      <c r="G47" s="12" t="str">
        <f aca="false">IF(A47="","",SUMIFS('Gold Log'!$F$4:$F$1000,'Gold Log'!$B$4:$B$1000,A47))</f>
        <v/>
      </c>
      <c r="H47" s="12" t="str">
        <f aca="false">IF(A47="","",F47+G47)</f>
        <v/>
      </c>
      <c r="I47" s="6"/>
      <c r="J47" s="16"/>
      <c r="K47" s="12" t="str">
        <f aca="false">IF(A47="","",IF(H47&gt;='Reference Tables'!$B$16,"Yes — issue Black card","-"))</f>
        <v/>
      </c>
    </row>
    <row r="48" customFormat="false" ht="15" hidden="false" customHeight="false" outlineLevel="0" collapsed="false">
      <c r="A48" s="6"/>
      <c r="B48" s="6"/>
      <c r="C48" s="6"/>
      <c r="D48" s="11"/>
      <c r="E48" s="6"/>
      <c r="F48" s="12" t="n">
        <f aca="false">IF(E48="",0,IFERROR(INDEX('Silver Registry'!$H$4:$H$103,MATCH(E48,'Silver Registry'!$A$4:$A$103,0)),0))</f>
        <v>0</v>
      </c>
      <c r="G48" s="12" t="str">
        <f aca="false">IF(A48="","",SUMIFS('Gold Log'!$F$4:$F$1000,'Gold Log'!$B$4:$B$1000,A48))</f>
        <v/>
      </c>
      <c r="H48" s="12" t="str">
        <f aca="false">IF(A48="","",F48+G48)</f>
        <v/>
      </c>
      <c r="I48" s="6"/>
      <c r="J48" s="16"/>
      <c r="K48" s="12" t="str">
        <f aca="false">IF(A48="","",IF(H48&gt;='Reference Tables'!$B$16,"Yes — issue Black card","-"))</f>
        <v/>
      </c>
    </row>
    <row r="49" customFormat="false" ht="15" hidden="false" customHeight="false" outlineLevel="0" collapsed="false">
      <c r="A49" s="6"/>
      <c r="B49" s="6"/>
      <c r="C49" s="6"/>
      <c r="D49" s="11"/>
      <c r="E49" s="6"/>
      <c r="F49" s="12" t="n">
        <f aca="false">IF(E49="",0,IFERROR(INDEX('Silver Registry'!$H$4:$H$103,MATCH(E49,'Silver Registry'!$A$4:$A$103,0)),0))</f>
        <v>0</v>
      </c>
      <c r="G49" s="12" t="str">
        <f aca="false">IF(A49="","",SUMIFS('Gold Log'!$F$4:$F$1000,'Gold Log'!$B$4:$B$1000,A49))</f>
        <v/>
      </c>
      <c r="H49" s="12" t="str">
        <f aca="false">IF(A49="","",F49+G49)</f>
        <v/>
      </c>
      <c r="I49" s="6"/>
      <c r="J49" s="16"/>
      <c r="K49" s="12" t="str">
        <f aca="false">IF(A49="","",IF(H49&gt;='Reference Tables'!$B$16,"Yes — issue Black card","-"))</f>
        <v/>
      </c>
    </row>
    <row r="50" customFormat="false" ht="15" hidden="false" customHeight="false" outlineLevel="0" collapsed="false">
      <c r="A50" s="6"/>
      <c r="B50" s="6"/>
      <c r="C50" s="6"/>
      <c r="D50" s="11"/>
      <c r="E50" s="6"/>
      <c r="F50" s="12" t="n">
        <f aca="false">IF(E50="",0,IFERROR(INDEX('Silver Registry'!$H$4:$H$103,MATCH(E50,'Silver Registry'!$A$4:$A$103,0)),0))</f>
        <v>0</v>
      </c>
      <c r="G50" s="12" t="str">
        <f aca="false">IF(A50="","",SUMIFS('Gold Log'!$F$4:$F$1000,'Gold Log'!$B$4:$B$1000,A50))</f>
        <v/>
      </c>
      <c r="H50" s="12" t="str">
        <f aca="false">IF(A50="","",F50+G50)</f>
        <v/>
      </c>
      <c r="I50" s="6"/>
      <c r="J50" s="16"/>
      <c r="K50" s="12" t="str">
        <f aca="false">IF(A50="","",IF(H50&gt;='Reference Tables'!$B$16,"Yes — issue Black card","-"))</f>
        <v/>
      </c>
    </row>
    <row r="51" customFormat="false" ht="15" hidden="false" customHeight="false" outlineLevel="0" collapsed="false">
      <c r="A51" s="6"/>
      <c r="B51" s="6"/>
      <c r="C51" s="6"/>
      <c r="D51" s="11"/>
      <c r="E51" s="6"/>
      <c r="F51" s="12" t="n">
        <f aca="false">IF(E51="",0,IFERROR(INDEX('Silver Registry'!$H$4:$H$103,MATCH(E51,'Silver Registry'!$A$4:$A$103,0)),0))</f>
        <v>0</v>
      </c>
      <c r="G51" s="12" t="str">
        <f aca="false">IF(A51="","",SUMIFS('Gold Log'!$F$4:$F$1000,'Gold Log'!$B$4:$B$1000,A51))</f>
        <v/>
      </c>
      <c r="H51" s="12" t="str">
        <f aca="false">IF(A51="","",F51+G51)</f>
        <v/>
      </c>
      <c r="I51" s="6"/>
      <c r="J51" s="16"/>
      <c r="K51" s="12" t="str">
        <f aca="false">IF(A51="","",IF(H51&gt;='Reference Tables'!$B$16,"Yes — issue Black card","-"))</f>
        <v/>
      </c>
    </row>
    <row r="52" customFormat="false" ht="15" hidden="false" customHeight="false" outlineLevel="0" collapsed="false">
      <c r="A52" s="6"/>
      <c r="B52" s="6"/>
      <c r="C52" s="6"/>
      <c r="D52" s="11"/>
      <c r="E52" s="6"/>
      <c r="F52" s="12" t="n">
        <f aca="false">IF(E52="",0,IFERROR(INDEX('Silver Registry'!$H$4:$H$103,MATCH(E52,'Silver Registry'!$A$4:$A$103,0)),0))</f>
        <v>0</v>
      </c>
      <c r="G52" s="12" t="str">
        <f aca="false">IF(A52="","",SUMIFS('Gold Log'!$F$4:$F$1000,'Gold Log'!$B$4:$B$1000,A52))</f>
        <v/>
      </c>
      <c r="H52" s="12" t="str">
        <f aca="false">IF(A52="","",F52+G52)</f>
        <v/>
      </c>
      <c r="I52" s="6"/>
      <c r="J52" s="16"/>
      <c r="K52" s="12" t="str">
        <f aca="false">IF(A52="","",IF(H52&gt;='Reference Tables'!$B$16,"Yes — issue Black card","-"))</f>
        <v/>
      </c>
    </row>
    <row r="53" customFormat="false" ht="15" hidden="false" customHeight="false" outlineLevel="0" collapsed="false">
      <c r="A53" s="6"/>
      <c r="B53" s="6"/>
      <c r="C53" s="6"/>
      <c r="D53" s="11"/>
      <c r="E53" s="6"/>
      <c r="F53" s="12" t="n">
        <f aca="false">IF(E53="",0,IFERROR(INDEX('Silver Registry'!$H$4:$H$103,MATCH(E53,'Silver Registry'!$A$4:$A$103,0)),0))</f>
        <v>0</v>
      </c>
      <c r="G53" s="12" t="str">
        <f aca="false">IF(A53="","",SUMIFS('Gold Log'!$F$4:$F$1000,'Gold Log'!$B$4:$B$1000,A53))</f>
        <v/>
      </c>
      <c r="H53" s="12" t="str">
        <f aca="false">IF(A53="","",F53+G53)</f>
        <v/>
      </c>
      <c r="I53" s="6"/>
      <c r="J53" s="16"/>
      <c r="K53" s="12" t="str">
        <f aca="false">IF(A53="","",IF(H53&gt;='Reference Tables'!$B$16,"Yes — issue Black card","-"))</f>
        <v/>
      </c>
    </row>
    <row r="54" customFormat="false" ht="15" hidden="false" customHeight="false" outlineLevel="0" collapsed="false">
      <c r="A54" s="6"/>
      <c r="B54" s="6"/>
      <c r="C54" s="6"/>
      <c r="D54" s="11"/>
      <c r="E54" s="6"/>
      <c r="F54" s="12" t="n">
        <f aca="false">IF(E54="",0,IFERROR(INDEX('Silver Registry'!$H$4:$H$103,MATCH(E54,'Silver Registry'!$A$4:$A$103,0)),0))</f>
        <v>0</v>
      </c>
      <c r="G54" s="12" t="str">
        <f aca="false">IF(A54="","",SUMIFS('Gold Log'!$F$4:$F$1000,'Gold Log'!$B$4:$B$1000,A54))</f>
        <v/>
      </c>
      <c r="H54" s="12" t="str">
        <f aca="false">IF(A54="","",F54+G54)</f>
        <v/>
      </c>
      <c r="I54" s="6"/>
      <c r="J54" s="16"/>
      <c r="K54" s="12" t="str">
        <f aca="false">IF(A54="","",IF(H54&gt;='Reference Tables'!$B$16,"Yes — issue Black card","-"))</f>
        <v/>
      </c>
    </row>
    <row r="55" customFormat="false" ht="15" hidden="false" customHeight="false" outlineLevel="0" collapsed="false">
      <c r="A55" s="6"/>
      <c r="B55" s="6"/>
      <c r="C55" s="6"/>
      <c r="D55" s="11"/>
      <c r="E55" s="6"/>
      <c r="F55" s="12" t="n">
        <f aca="false">IF(E55="",0,IFERROR(INDEX('Silver Registry'!$H$4:$H$103,MATCH(E55,'Silver Registry'!$A$4:$A$103,0)),0))</f>
        <v>0</v>
      </c>
      <c r="G55" s="12" t="str">
        <f aca="false">IF(A55="","",SUMIFS('Gold Log'!$F$4:$F$1000,'Gold Log'!$B$4:$B$1000,A55))</f>
        <v/>
      </c>
      <c r="H55" s="12" t="str">
        <f aca="false">IF(A55="","",F55+G55)</f>
        <v/>
      </c>
      <c r="I55" s="6"/>
      <c r="J55" s="16"/>
      <c r="K55" s="12" t="str">
        <f aca="false">IF(A55="","",IF(H55&gt;='Reference Tables'!$B$16,"Yes — issue Black card","-"))</f>
        <v/>
      </c>
    </row>
    <row r="56" customFormat="false" ht="15" hidden="false" customHeight="false" outlineLevel="0" collapsed="false">
      <c r="A56" s="6"/>
      <c r="B56" s="6"/>
      <c r="C56" s="6"/>
      <c r="D56" s="11"/>
      <c r="E56" s="6"/>
      <c r="F56" s="12" t="n">
        <f aca="false">IF(E56="",0,IFERROR(INDEX('Silver Registry'!$H$4:$H$103,MATCH(E56,'Silver Registry'!$A$4:$A$103,0)),0))</f>
        <v>0</v>
      </c>
      <c r="G56" s="12" t="str">
        <f aca="false">IF(A56="","",SUMIFS('Gold Log'!$F$4:$F$1000,'Gold Log'!$B$4:$B$1000,A56))</f>
        <v/>
      </c>
      <c r="H56" s="12" t="str">
        <f aca="false">IF(A56="","",F56+G56)</f>
        <v/>
      </c>
      <c r="I56" s="6"/>
      <c r="J56" s="16"/>
      <c r="K56" s="12" t="str">
        <f aca="false">IF(A56="","",IF(H56&gt;='Reference Tables'!$B$16,"Yes — issue Black card","-"))</f>
        <v/>
      </c>
    </row>
    <row r="57" customFormat="false" ht="15" hidden="false" customHeight="false" outlineLevel="0" collapsed="false">
      <c r="A57" s="6"/>
      <c r="B57" s="6"/>
      <c r="C57" s="6"/>
      <c r="D57" s="11"/>
      <c r="E57" s="6"/>
      <c r="F57" s="12" t="n">
        <f aca="false">IF(E57="",0,IFERROR(INDEX('Silver Registry'!$H$4:$H$103,MATCH(E57,'Silver Registry'!$A$4:$A$103,0)),0))</f>
        <v>0</v>
      </c>
      <c r="G57" s="12" t="str">
        <f aca="false">IF(A57="","",SUMIFS('Gold Log'!$F$4:$F$1000,'Gold Log'!$B$4:$B$1000,A57))</f>
        <v/>
      </c>
      <c r="H57" s="12" t="str">
        <f aca="false">IF(A57="","",F57+G57)</f>
        <v/>
      </c>
      <c r="I57" s="6"/>
      <c r="J57" s="16"/>
      <c r="K57" s="12" t="str">
        <f aca="false">IF(A57="","",IF(H57&gt;='Reference Tables'!$B$16,"Yes — issue Black card","-"))</f>
        <v/>
      </c>
    </row>
    <row r="58" customFormat="false" ht="15" hidden="false" customHeight="false" outlineLevel="0" collapsed="false">
      <c r="A58" s="6"/>
      <c r="B58" s="6"/>
      <c r="C58" s="6"/>
      <c r="D58" s="11"/>
      <c r="E58" s="6"/>
      <c r="F58" s="12" t="n">
        <f aca="false">IF(E58="",0,IFERROR(INDEX('Silver Registry'!$H$4:$H$103,MATCH(E58,'Silver Registry'!$A$4:$A$103,0)),0))</f>
        <v>0</v>
      </c>
      <c r="G58" s="12" t="str">
        <f aca="false">IF(A58="","",SUMIFS('Gold Log'!$F$4:$F$1000,'Gold Log'!$B$4:$B$1000,A58))</f>
        <v/>
      </c>
      <c r="H58" s="12" t="str">
        <f aca="false">IF(A58="","",F58+G58)</f>
        <v/>
      </c>
      <c r="I58" s="6"/>
      <c r="J58" s="16"/>
      <c r="K58" s="12" t="str">
        <f aca="false">IF(A58="","",IF(H58&gt;='Reference Tables'!$B$16,"Yes — issue Black card","-"))</f>
        <v/>
      </c>
    </row>
    <row r="59" customFormat="false" ht="15" hidden="false" customHeight="false" outlineLevel="0" collapsed="false">
      <c r="A59" s="6"/>
      <c r="B59" s="6"/>
      <c r="C59" s="6"/>
      <c r="D59" s="11"/>
      <c r="E59" s="6"/>
      <c r="F59" s="12" t="n">
        <f aca="false">IF(E59="",0,IFERROR(INDEX('Silver Registry'!$H$4:$H$103,MATCH(E59,'Silver Registry'!$A$4:$A$103,0)),0))</f>
        <v>0</v>
      </c>
      <c r="G59" s="12" t="str">
        <f aca="false">IF(A59="","",SUMIFS('Gold Log'!$F$4:$F$1000,'Gold Log'!$B$4:$B$1000,A59))</f>
        <v/>
      </c>
      <c r="H59" s="12" t="str">
        <f aca="false">IF(A59="","",F59+G59)</f>
        <v/>
      </c>
      <c r="I59" s="6"/>
      <c r="J59" s="16"/>
      <c r="K59" s="12" t="str">
        <f aca="false">IF(A59="","",IF(H59&gt;='Reference Tables'!$B$16,"Yes — issue Black card","-"))</f>
        <v/>
      </c>
    </row>
    <row r="60" customFormat="false" ht="15" hidden="false" customHeight="false" outlineLevel="0" collapsed="false">
      <c r="A60" s="6"/>
      <c r="B60" s="6"/>
      <c r="C60" s="6"/>
      <c r="D60" s="11"/>
      <c r="E60" s="6"/>
      <c r="F60" s="12" t="n">
        <f aca="false">IF(E60="",0,IFERROR(INDEX('Silver Registry'!$H$4:$H$103,MATCH(E60,'Silver Registry'!$A$4:$A$103,0)),0))</f>
        <v>0</v>
      </c>
      <c r="G60" s="12" t="str">
        <f aca="false">IF(A60="","",SUMIFS('Gold Log'!$F$4:$F$1000,'Gold Log'!$B$4:$B$1000,A60))</f>
        <v/>
      </c>
      <c r="H60" s="12" t="str">
        <f aca="false">IF(A60="","",F60+G60)</f>
        <v/>
      </c>
      <c r="I60" s="6"/>
      <c r="J60" s="16"/>
      <c r="K60" s="12" t="str">
        <f aca="false">IF(A60="","",IF(H60&gt;='Reference Tables'!$B$16,"Yes — issue Black card","-"))</f>
        <v/>
      </c>
    </row>
    <row r="61" customFormat="false" ht="15" hidden="false" customHeight="false" outlineLevel="0" collapsed="false">
      <c r="A61" s="6"/>
      <c r="B61" s="6"/>
      <c r="C61" s="6"/>
      <c r="D61" s="11"/>
      <c r="E61" s="6"/>
      <c r="F61" s="12" t="n">
        <f aca="false">IF(E61="",0,IFERROR(INDEX('Silver Registry'!$H$4:$H$103,MATCH(E61,'Silver Registry'!$A$4:$A$103,0)),0))</f>
        <v>0</v>
      </c>
      <c r="G61" s="12" t="str">
        <f aca="false">IF(A61="","",SUMIFS('Gold Log'!$F$4:$F$1000,'Gold Log'!$B$4:$B$1000,A61))</f>
        <v/>
      </c>
      <c r="H61" s="12" t="str">
        <f aca="false">IF(A61="","",F61+G61)</f>
        <v/>
      </c>
      <c r="I61" s="6"/>
      <c r="J61" s="16"/>
      <c r="K61" s="12" t="str">
        <f aca="false">IF(A61="","",IF(H61&gt;='Reference Tables'!$B$16,"Yes — issue Black card","-"))</f>
        <v/>
      </c>
    </row>
    <row r="62" customFormat="false" ht="15" hidden="false" customHeight="false" outlineLevel="0" collapsed="false">
      <c r="A62" s="6"/>
      <c r="B62" s="6"/>
      <c r="C62" s="6"/>
      <c r="D62" s="11"/>
      <c r="E62" s="6"/>
      <c r="F62" s="12" t="n">
        <f aca="false">IF(E62="",0,IFERROR(INDEX('Silver Registry'!$H$4:$H$103,MATCH(E62,'Silver Registry'!$A$4:$A$103,0)),0))</f>
        <v>0</v>
      </c>
      <c r="G62" s="12" t="str">
        <f aca="false">IF(A62="","",SUMIFS('Gold Log'!$F$4:$F$1000,'Gold Log'!$B$4:$B$1000,A62))</f>
        <v/>
      </c>
      <c r="H62" s="12" t="str">
        <f aca="false">IF(A62="","",F62+G62)</f>
        <v/>
      </c>
      <c r="I62" s="6"/>
      <c r="J62" s="16"/>
      <c r="K62" s="12" t="str">
        <f aca="false">IF(A62="","",IF(H62&gt;='Reference Tables'!$B$16,"Yes — issue Black card","-"))</f>
        <v/>
      </c>
    </row>
    <row r="63" customFormat="false" ht="15" hidden="false" customHeight="false" outlineLevel="0" collapsed="false">
      <c r="A63" s="6"/>
      <c r="B63" s="6"/>
      <c r="C63" s="6"/>
      <c r="D63" s="11"/>
      <c r="E63" s="6"/>
      <c r="F63" s="12" t="n">
        <f aca="false">IF(E63="",0,IFERROR(INDEX('Silver Registry'!$H$4:$H$103,MATCH(E63,'Silver Registry'!$A$4:$A$103,0)),0))</f>
        <v>0</v>
      </c>
      <c r="G63" s="12" t="str">
        <f aca="false">IF(A63="","",SUMIFS('Gold Log'!$F$4:$F$1000,'Gold Log'!$B$4:$B$1000,A63))</f>
        <v/>
      </c>
      <c r="H63" s="12" t="str">
        <f aca="false">IF(A63="","",F63+G63)</f>
        <v/>
      </c>
      <c r="I63" s="6"/>
      <c r="J63" s="16"/>
      <c r="K63" s="12" t="str">
        <f aca="false">IF(A63="","",IF(H63&gt;='Reference Tables'!$B$16,"Yes — issue Black card","-"))</f>
        <v/>
      </c>
    </row>
    <row r="64" customFormat="false" ht="15" hidden="false" customHeight="false" outlineLevel="0" collapsed="false">
      <c r="A64" s="6"/>
      <c r="B64" s="6"/>
      <c r="C64" s="6"/>
      <c r="D64" s="11"/>
      <c r="E64" s="6"/>
      <c r="F64" s="12" t="n">
        <f aca="false">IF(E64="",0,IFERROR(INDEX('Silver Registry'!$H$4:$H$103,MATCH(E64,'Silver Registry'!$A$4:$A$103,0)),0))</f>
        <v>0</v>
      </c>
      <c r="G64" s="12" t="str">
        <f aca="false">IF(A64="","",SUMIFS('Gold Log'!$F$4:$F$1000,'Gold Log'!$B$4:$B$1000,A64))</f>
        <v/>
      </c>
      <c r="H64" s="12" t="str">
        <f aca="false">IF(A64="","",F64+G64)</f>
        <v/>
      </c>
      <c r="I64" s="6"/>
      <c r="J64" s="16"/>
      <c r="K64" s="12" t="str">
        <f aca="false">IF(A64="","",IF(H64&gt;='Reference Tables'!$B$16,"Yes — issue Black card","-"))</f>
        <v/>
      </c>
    </row>
    <row r="65" customFormat="false" ht="15" hidden="false" customHeight="false" outlineLevel="0" collapsed="false">
      <c r="A65" s="6"/>
      <c r="B65" s="6"/>
      <c r="C65" s="6"/>
      <c r="D65" s="11"/>
      <c r="E65" s="6"/>
      <c r="F65" s="12" t="n">
        <f aca="false">IF(E65="",0,IFERROR(INDEX('Silver Registry'!$H$4:$H$103,MATCH(E65,'Silver Registry'!$A$4:$A$103,0)),0))</f>
        <v>0</v>
      </c>
      <c r="G65" s="12" t="str">
        <f aca="false">IF(A65="","",SUMIFS('Gold Log'!$F$4:$F$1000,'Gold Log'!$B$4:$B$1000,A65))</f>
        <v/>
      </c>
      <c r="H65" s="12" t="str">
        <f aca="false">IF(A65="","",F65+G65)</f>
        <v/>
      </c>
      <c r="I65" s="6"/>
      <c r="J65" s="16"/>
      <c r="K65" s="12" t="str">
        <f aca="false">IF(A65="","",IF(H65&gt;='Reference Tables'!$B$16,"Yes — issue Black card","-"))</f>
        <v/>
      </c>
    </row>
    <row r="66" customFormat="false" ht="15" hidden="false" customHeight="false" outlineLevel="0" collapsed="false">
      <c r="A66" s="6"/>
      <c r="B66" s="6"/>
      <c r="C66" s="6"/>
      <c r="D66" s="11"/>
      <c r="E66" s="6"/>
      <c r="F66" s="12" t="n">
        <f aca="false">IF(E66="",0,IFERROR(INDEX('Silver Registry'!$H$4:$H$103,MATCH(E66,'Silver Registry'!$A$4:$A$103,0)),0))</f>
        <v>0</v>
      </c>
      <c r="G66" s="12" t="str">
        <f aca="false">IF(A66="","",SUMIFS('Gold Log'!$F$4:$F$1000,'Gold Log'!$B$4:$B$1000,A66))</f>
        <v/>
      </c>
      <c r="H66" s="12" t="str">
        <f aca="false">IF(A66="","",F66+G66)</f>
        <v/>
      </c>
      <c r="I66" s="6"/>
      <c r="J66" s="16"/>
      <c r="K66" s="12" t="str">
        <f aca="false">IF(A66="","",IF(H66&gt;='Reference Tables'!$B$16,"Yes — issue Black card","-"))</f>
        <v/>
      </c>
    </row>
    <row r="67" customFormat="false" ht="15" hidden="false" customHeight="false" outlineLevel="0" collapsed="false">
      <c r="A67" s="6"/>
      <c r="B67" s="6"/>
      <c r="C67" s="6"/>
      <c r="D67" s="11"/>
      <c r="E67" s="6"/>
      <c r="F67" s="12" t="n">
        <f aca="false">IF(E67="",0,IFERROR(INDEX('Silver Registry'!$H$4:$H$103,MATCH(E67,'Silver Registry'!$A$4:$A$103,0)),0))</f>
        <v>0</v>
      </c>
      <c r="G67" s="12" t="str">
        <f aca="false">IF(A67="","",SUMIFS('Gold Log'!$F$4:$F$1000,'Gold Log'!$B$4:$B$1000,A67))</f>
        <v/>
      </c>
      <c r="H67" s="12" t="str">
        <f aca="false">IF(A67="","",F67+G67)</f>
        <v/>
      </c>
      <c r="I67" s="6"/>
      <c r="J67" s="16"/>
      <c r="K67" s="12" t="str">
        <f aca="false">IF(A67="","",IF(H67&gt;='Reference Tables'!$B$16,"Yes — issue Black card","-"))</f>
        <v/>
      </c>
    </row>
    <row r="68" customFormat="false" ht="15" hidden="false" customHeight="false" outlineLevel="0" collapsed="false">
      <c r="A68" s="6"/>
      <c r="B68" s="6"/>
      <c r="C68" s="6"/>
      <c r="D68" s="11"/>
      <c r="E68" s="6"/>
      <c r="F68" s="12" t="n">
        <f aca="false">IF(E68="",0,IFERROR(INDEX('Silver Registry'!$H$4:$H$103,MATCH(E68,'Silver Registry'!$A$4:$A$103,0)),0))</f>
        <v>0</v>
      </c>
      <c r="G68" s="12" t="str">
        <f aca="false">IF(A68="","",SUMIFS('Gold Log'!$F$4:$F$1000,'Gold Log'!$B$4:$B$1000,A68))</f>
        <v/>
      </c>
      <c r="H68" s="12" t="str">
        <f aca="false">IF(A68="","",F68+G68)</f>
        <v/>
      </c>
      <c r="I68" s="6"/>
      <c r="J68" s="16"/>
      <c r="K68" s="12" t="str">
        <f aca="false">IF(A68="","",IF(H68&gt;='Reference Tables'!$B$16,"Yes — issue Black card","-"))</f>
        <v/>
      </c>
    </row>
    <row r="69" customFormat="false" ht="15" hidden="false" customHeight="false" outlineLevel="0" collapsed="false">
      <c r="A69" s="6"/>
      <c r="B69" s="6"/>
      <c r="C69" s="6"/>
      <c r="D69" s="11"/>
      <c r="E69" s="6"/>
      <c r="F69" s="12" t="n">
        <f aca="false">IF(E69="",0,IFERROR(INDEX('Silver Registry'!$H$4:$H$103,MATCH(E69,'Silver Registry'!$A$4:$A$103,0)),0))</f>
        <v>0</v>
      </c>
      <c r="G69" s="12" t="str">
        <f aca="false">IF(A69="","",SUMIFS('Gold Log'!$F$4:$F$1000,'Gold Log'!$B$4:$B$1000,A69))</f>
        <v/>
      </c>
      <c r="H69" s="12" t="str">
        <f aca="false">IF(A69="","",F69+G69)</f>
        <v/>
      </c>
      <c r="I69" s="6"/>
      <c r="J69" s="16"/>
      <c r="K69" s="12" t="str">
        <f aca="false">IF(A69="","",IF(H69&gt;='Reference Tables'!$B$16,"Yes — issue Black card","-"))</f>
        <v/>
      </c>
    </row>
    <row r="70" customFormat="false" ht="15" hidden="false" customHeight="false" outlineLevel="0" collapsed="false">
      <c r="A70" s="6"/>
      <c r="B70" s="6"/>
      <c r="C70" s="6"/>
      <c r="D70" s="11"/>
      <c r="E70" s="6"/>
      <c r="F70" s="12" t="n">
        <f aca="false">IF(E70="",0,IFERROR(INDEX('Silver Registry'!$H$4:$H$103,MATCH(E70,'Silver Registry'!$A$4:$A$103,0)),0))</f>
        <v>0</v>
      </c>
      <c r="G70" s="12" t="str">
        <f aca="false">IF(A70="","",SUMIFS('Gold Log'!$F$4:$F$1000,'Gold Log'!$B$4:$B$1000,A70))</f>
        <v/>
      </c>
      <c r="H70" s="12" t="str">
        <f aca="false">IF(A70="","",F70+G70)</f>
        <v/>
      </c>
      <c r="I70" s="6"/>
      <c r="J70" s="16"/>
      <c r="K70" s="12" t="str">
        <f aca="false">IF(A70="","",IF(H70&gt;='Reference Tables'!$B$16,"Yes — issue Black card","-"))</f>
        <v/>
      </c>
    </row>
    <row r="71" customFormat="false" ht="15" hidden="false" customHeight="false" outlineLevel="0" collapsed="false">
      <c r="A71" s="6"/>
      <c r="B71" s="6"/>
      <c r="C71" s="6"/>
      <c r="D71" s="11"/>
      <c r="E71" s="6"/>
      <c r="F71" s="12" t="n">
        <f aca="false">IF(E71="",0,IFERROR(INDEX('Silver Registry'!$H$4:$H$103,MATCH(E71,'Silver Registry'!$A$4:$A$103,0)),0))</f>
        <v>0</v>
      </c>
      <c r="G71" s="12" t="str">
        <f aca="false">IF(A71="","",SUMIFS('Gold Log'!$F$4:$F$1000,'Gold Log'!$B$4:$B$1000,A71))</f>
        <v/>
      </c>
      <c r="H71" s="12" t="str">
        <f aca="false">IF(A71="","",F71+G71)</f>
        <v/>
      </c>
      <c r="I71" s="6"/>
      <c r="J71" s="16"/>
      <c r="K71" s="12" t="str">
        <f aca="false">IF(A71="","",IF(H71&gt;='Reference Tables'!$B$16,"Yes — issue Black card","-"))</f>
        <v/>
      </c>
    </row>
    <row r="72" customFormat="false" ht="15" hidden="false" customHeight="false" outlineLevel="0" collapsed="false">
      <c r="A72" s="6"/>
      <c r="B72" s="6"/>
      <c r="C72" s="6"/>
      <c r="D72" s="11"/>
      <c r="E72" s="6"/>
      <c r="F72" s="12" t="n">
        <f aca="false">IF(E72="",0,IFERROR(INDEX('Silver Registry'!$H$4:$H$103,MATCH(E72,'Silver Registry'!$A$4:$A$103,0)),0))</f>
        <v>0</v>
      </c>
      <c r="G72" s="12" t="str">
        <f aca="false">IF(A72="","",SUMIFS('Gold Log'!$F$4:$F$1000,'Gold Log'!$B$4:$B$1000,A72))</f>
        <v/>
      </c>
      <c r="H72" s="12" t="str">
        <f aca="false">IF(A72="","",F72+G72)</f>
        <v/>
      </c>
      <c r="I72" s="6"/>
      <c r="J72" s="16"/>
      <c r="K72" s="12" t="str">
        <f aca="false">IF(A72="","",IF(H72&gt;='Reference Tables'!$B$16,"Yes — issue Black card","-"))</f>
        <v/>
      </c>
    </row>
    <row r="73" customFormat="false" ht="15" hidden="false" customHeight="false" outlineLevel="0" collapsed="false">
      <c r="A73" s="6"/>
      <c r="B73" s="6"/>
      <c r="C73" s="6"/>
      <c r="D73" s="11"/>
      <c r="E73" s="6"/>
      <c r="F73" s="12" t="n">
        <f aca="false">IF(E73="",0,IFERROR(INDEX('Silver Registry'!$H$4:$H$103,MATCH(E73,'Silver Registry'!$A$4:$A$103,0)),0))</f>
        <v>0</v>
      </c>
      <c r="G73" s="12" t="str">
        <f aca="false">IF(A73="","",SUMIFS('Gold Log'!$F$4:$F$1000,'Gold Log'!$B$4:$B$1000,A73))</f>
        <v/>
      </c>
      <c r="H73" s="12" t="str">
        <f aca="false">IF(A73="","",F73+G73)</f>
        <v/>
      </c>
      <c r="I73" s="6"/>
      <c r="J73" s="16"/>
      <c r="K73" s="12" t="str">
        <f aca="false">IF(A73="","",IF(H73&gt;='Reference Tables'!$B$16,"Yes — issue Black card","-"))</f>
        <v/>
      </c>
    </row>
    <row r="74" customFormat="false" ht="15" hidden="false" customHeight="false" outlineLevel="0" collapsed="false">
      <c r="A74" s="6"/>
      <c r="B74" s="6"/>
      <c r="C74" s="6"/>
      <c r="D74" s="11"/>
      <c r="E74" s="6"/>
      <c r="F74" s="12" t="n">
        <f aca="false">IF(E74="",0,IFERROR(INDEX('Silver Registry'!$H$4:$H$103,MATCH(E74,'Silver Registry'!$A$4:$A$103,0)),0))</f>
        <v>0</v>
      </c>
      <c r="G74" s="12" t="str">
        <f aca="false">IF(A74="","",SUMIFS('Gold Log'!$F$4:$F$1000,'Gold Log'!$B$4:$B$1000,A74))</f>
        <v/>
      </c>
      <c r="H74" s="12" t="str">
        <f aca="false">IF(A74="","",F74+G74)</f>
        <v/>
      </c>
      <c r="I74" s="6"/>
      <c r="J74" s="16"/>
      <c r="K74" s="12" t="str">
        <f aca="false">IF(A74="","",IF(H74&gt;='Reference Tables'!$B$16,"Yes — issue Black card","-"))</f>
        <v/>
      </c>
    </row>
    <row r="75" customFormat="false" ht="15" hidden="false" customHeight="false" outlineLevel="0" collapsed="false">
      <c r="A75" s="6"/>
      <c r="B75" s="6"/>
      <c r="C75" s="6"/>
      <c r="D75" s="11"/>
      <c r="E75" s="6"/>
      <c r="F75" s="12" t="n">
        <f aca="false">IF(E75="",0,IFERROR(INDEX('Silver Registry'!$H$4:$H$103,MATCH(E75,'Silver Registry'!$A$4:$A$103,0)),0))</f>
        <v>0</v>
      </c>
      <c r="G75" s="12" t="str">
        <f aca="false">IF(A75="","",SUMIFS('Gold Log'!$F$4:$F$1000,'Gold Log'!$B$4:$B$1000,A75))</f>
        <v/>
      </c>
      <c r="H75" s="12" t="str">
        <f aca="false">IF(A75="","",F75+G75)</f>
        <v/>
      </c>
      <c r="I75" s="6"/>
      <c r="J75" s="16"/>
      <c r="K75" s="12" t="str">
        <f aca="false">IF(A75="","",IF(H75&gt;='Reference Tables'!$B$16,"Yes — issue Black card","-"))</f>
        <v/>
      </c>
    </row>
    <row r="76" customFormat="false" ht="15" hidden="false" customHeight="false" outlineLevel="0" collapsed="false">
      <c r="A76" s="6"/>
      <c r="B76" s="6"/>
      <c r="C76" s="6"/>
      <c r="D76" s="11"/>
      <c r="E76" s="6"/>
      <c r="F76" s="12" t="n">
        <f aca="false">IF(E76="",0,IFERROR(INDEX('Silver Registry'!$H$4:$H$103,MATCH(E76,'Silver Registry'!$A$4:$A$103,0)),0))</f>
        <v>0</v>
      </c>
      <c r="G76" s="12" t="str">
        <f aca="false">IF(A76="","",SUMIFS('Gold Log'!$F$4:$F$1000,'Gold Log'!$B$4:$B$1000,A76))</f>
        <v/>
      </c>
      <c r="H76" s="12" t="str">
        <f aca="false">IF(A76="","",F76+G76)</f>
        <v/>
      </c>
      <c r="I76" s="6"/>
      <c r="J76" s="16"/>
      <c r="K76" s="12" t="str">
        <f aca="false">IF(A76="","",IF(H76&gt;='Reference Tables'!$B$16,"Yes — issue Black card","-"))</f>
        <v/>
      </c>
    </row>
    <row r="77" customFormat="false" ht="15" hidden="false" customHeight="false" outlineLevel="0" collapsed="false">
      <c r="A77" s="6"/>
      <c r="B77" s="6"/>
      <c r="C77" s="6"/>
      <c r="D77" s="11"/>
      <c r="E77" s="6"/>
      <c r="F77" s="12" t="n">
        <f aca="false">IF(E77="",0,IFERROR(INDEX('Silver Registry'!$H$4:$H$103,MATCH(E77,'Silver Registry'!$A$4:$A$103,0)),0))</f>
        <v>0</v>
      </c>
      <c r="G77" s="12" t="str">
        <f aca="false">IF(A77="","",SUMIFS('Gold Log'!$F$4:$F$1000,'Gold Log'!$B$4:$B$1000,A77))</f>
        <v/>
      </c>
      <c r="H77" s="12" t="str">
        <f aca="false">IF(A77="","",F77+G77)</f>
        <v/>
      </c>
      <c r="I77" s="6"/>
      <c r="J77" s="16"/>
      <c r="K77" s="12" t="str">
        <f aca="false">IF(A77="","",IF(H77&gt;='Reference Tables'!$B$16,"Yes — issue Black card","-"))</f>
        <v/>
      </c>
    </row>
    <row r="78" customFormat="false" ht="15" hidden="false" customHeight="false" outlineLevel="0" collapsed="false">
      <c r="A78" s="6"/>
      <c r="B78" s="6"/>
      <c r="C78" s="6"/>
      <c r="D78" s="11"/>
      <c r="E78" s="6"/>
      <c r="F78" s="12" t="n">
        <f aca="false">IF(E78="",0,IFERROR(INDEX('Silver Registry'!$H$4:$H$103,MATCH(E78,'Silver Registry'!$A$4:$A$103,0)),0))</f>
        <v>0</v>
      </c>
      <c r="G78" s="12" t="str">
        <f aca="false">IF(A78="","",SUMIFS('Gold Log'!$F$4:$F$1000,'Gold Log'!$B$4:$B$1000,A78))</f>
        <v/>
      </c>
      <c r="H78" s="12" t="str">
        <f aca="false">IF(A78="","",F78+G78)</f>
        <v/>
      </c>
      <c r="I78" s="6"/>
      <c r="J78" s="16"/>
      <c r="K78" s="12" t="str">
        <f aca="false">IF(A78="","",IF(H78&gt;='Reference Tables'!$B$16,"Yes — issue Black card","-"))</f>
        <v/>
      </c>
    </row>
    <row r="79" customFormat="false" ht="15" hidden="false" customHeight="false" outlineLevel="0" collapsed="false">
      <c r="A79" s="6"/>
      <c r="B79" s="6"/>
      <c r="C79" s="6"/>
      <c r="D79" s="11"/>
      <c r="E79" s="6"/>
      <c r="F79" s="12" t="n">
        <f aca="false">IF(E79="",0,IFERROR(INDEX('Silver Registry'!$H$4:$H$103,MATCH(E79,'Silver Registry'!$A$4:$A$103,0)),0))</f>
        <v>0</v>
      </c>
      <c r="G79" s="12" t="str">
        <f aca="false">IF(A79="","",SUMIFS('Gold Log'!$F$4:$F$1000,'Gold Log'!$B$4:$B$1000,A79))</f>
        <v/>
      </c>
      <c r="H79" s="12" t="str">
        <f aca="false">IF(A79="","",F79+G79)</f>
        <v/>
      </c>
      <c r="I79" s="6"/>
      <c r="J79" s="16"/>
      <c r="K79" s="12" t="str">
        <f aca="false">IF(A79="","",IF(H79&gt;='Reference Tables'!$B$16,"Yes — issue Black card","-"))</f>
        <v/>
      </c>
    </row>
    <row r="80" customFormat="false" ht="15" hidden="false" customHeight="false" outlineLevel="0" collapsed="false">
      <c r="A80" s="6"/>
      <c r="B80" s="6"/>
      <c r="C80" s="6"/>
      <c r="D80" s="11"/>
      <c r="E80" s="6"/>
      <c r="F80" s="12" t="n">
        <f aca="false">IF(E80="",0,IFERROR(INDEX('Silver Registry'!$H$4:$H$103,MATCH(E80,'Silver Registry'!$A$4:$A$103,0)),0))</f>
        <v>0</v>
      </c>
      <c r="G80" s="12" t="str">
        <f aca="false">IF(A80="","",SUMIFS('Gold Log'!$F$4:$F$1000,'Gold Log'!$B$4:$B$1000,A80))</f>
        <v/>
      </c>
      <c r="H80" s="12" t="str">
        <f aca="false">IF(A80="","",F80+G80)</f>
        <v/>
      </c>
      <c r="I80" s="6"/>
      <c r="J80" s="16"/>
      <c r="K80" s="12" t="str">
        <f aca="false">IF(A80="","",IF(H80&gt;='Reference Tables'!$B$16,"Yes — issue Black card","-"))</f>
        <v/>
      </c>
    </row>
    <row r="81" customFormat="false" ht="15" hidden="false" customHeight="false" outlineLevel="0" collapsed="false">
      <c r="A81" s="6"/>
      <c r="B81" s="6"/>
      <c r="C81" s="6"/>
      <c r="D81" s="11"/>
      <c r="E81" s="6"/>
      <c r="F81" s="12" t="n">
        <f aca="false">IF(E81="",0,IFERROR(INDEX('Silver Registry'!$H$4:$H$103,MATCH(E81,'Silver Registry'!$A$4:$A$103,0)),0))</f>
        <v>0</v>
      </c>
      <c r="G81" s="12" t="str">
        <f aca="false">IF(A81="","",SUMIFS('Gold Log'!$F$4:$F$1000,'Gold Log'!$B$4:$B$1000,A81))</f>
        <v/>
      </c>
      <c r="H81" s="12" t="str">
        <f aca="false">IF(A81="","",F81+G81)</f>
        <v/>
      </c>
      <c r="I81" s="6"/>
      <c r="J81" s="16"/>
      <c r="K81" s="12" t="str">
        <f aca="false">IF(A81="","",IF(H81&gt;='Reference Tables'!$B$16,"Yes — issue Black card","-"))</f>
        <v/>
      </c>
    </row>
    <row r="82" customFormat="false" ht="15" hidden="false" customHeight="false" outlineLevel="0" collapsed="false">
      <c r="A82" s="6"/>
      <c r="B82" s="6"/>
      <c r="C82" s="6"/>
      <c r="D82" s="11"/>
      <c r="E82" s="6"/>
      <c r="F82" s="12" t="n">
        <f aca="false">IF(E82="",0,IFERROR(INDEX('Silver Registry'!$H$4:$H$103,MATCH(E82,'Silver Registry'!$A$4:$A$103,0)),0))</f>
        <v>0</v>
      </c>
      <c r="G82" s="12" t="str">
        <f aca="false">IF(A82="","",SUMIFS('Gold Log'!$F$4:$F$1000,'Gold Log'!$B$4:$B$1000,A82))</f>
        <v/>
      </c>
      <c r="H82" s="12" t="str">
        <f aca="false">IF(A82="","",F82+G82)</f>
        <v/>
      </c>
      <c r="I82" s="6"/>
      <c r="J82" s="16"/>
      <c r="K82" s="12" t="str">
        <f aca="false">IF(A82="","",IF(H82&gt;='Reference Tables'!$B$16,"Yes — issue Black card","-"))</f>
        <v/>
      </c>
    </row>
    <row r="83" customFormat="false" ht="15" hidden="false" customHeight="false" outlineLevel="0" collapsed="false">
      <c r="A83" s="6"/>
      <c r="B83" s="6"/>
      <c r="C83" s="6"/>
      <c r="D83" s="11"/>
      <c r="E83" s="6"/>
      <c r="F83" s="12" t="n">
        <f aca="false">IF(E83="",0,IFERROR(INDEX('Silver Registry'!$H$4:$H$103,MATCH(E83,'Silver Registry'!$A$4:$A$103,0)),0))</f>
        <v>0</v>
      </c>
      <c r="G83" s="12" t="str">
        <f aca="false">IF(A83="","",SUMIFS('Gold Log'!$F$4:$F$1000,'Gold Log'!$B$4:$B$1000,A83))</f>
        <v/>
      </c>
      <c r="H83" s="12" t="str">
        <f aca="false">IF(A83="","",F83+G83)</f>
        <v/>
      </c>
      <c r="I83" s="6"/>
      <c r="J83" s="16"/>
      <c r="K83" s="12" t="str">
        <f aca="false">IF(A83="","",IF(H83&gt;='Reference Tables'!$B$16,"Yes — issue Black card","-"))</f>
        <v/>
      </c>
    </row>
    <row r="84" customFormat="false" ht="15" hidden="false" customHeight="false" outlineLevel="0" collapsed="false">
      <c r="A84" s="6"/>
      <c r="B84" s="6"/>
      <c r="C84" s="6"/>
      <c r="D84" s="11"/>
      <c r="E84" s="6"/>
      <c r="F84" s="12" t="n">
        <f aca="false">IF(E84="",0,IFERROR(INDEX('Silver Registry'!$H$4:$H$103,MATCH(E84,'Silver Registry'!$A$4:$A$103,0)),0))</f>
        <v>0</v>
      </c>
      <c r="G84" s="12" t="str">
        <f aca="false">IF(A84="","",SUMIFS('Gold Log'!$F$4:$F$1000,'Gold Log'!$B$4:$B$1000,A84))</f>
        <v/>
      </c>
      <c r="H84" s="12" t="str">
        <f aca="false">IF(A84="","",F84+G84)</f>
        <v/>
      </c>
      <c r="I84" s="6"/>
      <c r="J84" s="16"/>
      <c r="K84" s="12" t="str">
        <f aca="false">IF(A84="","",IF(H84&gt;='Reference Tables'!$B$16,"Yes — issue Black card","-"))</f>
        <v/>
      </c>
    </row>
    <row r="85" customFormat="false" ht="15" hidden="false" customHeight="false" outlineLevel="0" collapsed="false">
      <c r="A85" s="6"/>
      <c r="B85" s="6"/>
      <c r="C85" s="6"/>
      <c r="D85" s="11"/>
      <c r="E85" s="6"/>
      <c r="F85" s="12" t="n">
        <f aca="false">IF(E85="",0,IFERROR(INDEX('Silver Registry'!$H$4:$H$103,MATCH(E85,'Silver Registry'!$A$4:$A$103,0)),0))</f>
        <v>0</v>
      </c>
      <c r="G85" s="12" t="str">
        <f aca="false">IF(A85="","",SUMIFS('Gold Log'!$F$4:$F$1000,'Gold Log'!$B$4:$B$1000,A85))</f>
        <v/>
      </c>
      <c r="H85" s="12" t="str">
        <f aca="false">IF(A85="","",F85+G85)</f>
        <v/>
      </c>
      <c r="I85" s="6"/>
      <c r="J85" s="16"/>
      <c r="K85" s="12" t="str">
        <f aca="false">IF(A85="","",IF(H85&gt;='Reference Tables'!$B$16,"Yes — issue Black card","-"))</f>
        <v/>
      </c>
    </row>
    <row r="86" customFormat="false" ht="15" hidden="false" customHeight="false" outlineLevel="0" collapsed="false">
      <c r="A86" s="6"/>
      <c r="B86" s="6"/>
      <c r="C86" s="6"/>
      <c r="D86" s="11"/>
      <c r="E86" s="6"/>
      <c r="F86" s="12" t="n">
        <f aca="false">IF(E86="",0,IFERROR(INDEX('Silver Registry'!$H$4:$H$103,MATCH(E86,'Silver Registry'!$A$4:$A$103,0)),0))</f>
        <v>0</v>
      </c>
      <c r="G86" s="12" t="str">
        <f aca="false">IF(A86="","",SUMIFS('Gold Log'!$F$4:$F$1000,'Gold Log'!$B$4:$B$1000,A86))</f>
        <v/>
      </c>
      <c r="H86" s="12" t="str">
        <f aca="false">IF(A86="","",F86+G86)</f>
        <v/>
      </c>
      <c r="I86" s="6"/>
      <c r="J86" s="16"/>
      <c r="K86" s="12" t="str">
        <f aca="false">IF(A86="","",IF(H86&gt;='Reference Tables'!$B$16,"Yes — issue Black card","-"))</f>
        <v/>
      </c>
    </row>
    <row r="87" customFormat="false" ht="15" hidden="false" customHeight="false" outlineLevel="0" collapsed="false">
      <c r="A87" s="6"/>
      <c r="B87" s="6"/>
      <c r="C87" s="6"/>
      <c r="D87" s="11"/>
      <c r="E87" s="6"/>
      <c r="F87" s="12" t="n">
        <f aca="false">IF(E87="",0,IFERROR(INDEX('Silver Registry'!$H$4:$H$103,MATCH(E87,'Silver Registry'!$A$4:$A$103,0)),0))</f>
        <v>0</v>
      </c>
      <c r="G87" s="12" t="str">
        <f aca="false">IF(A87="","",SUMIFS('Gold Log'!$F$4:$F$1000,'Gold Log'!$B$4:$B$1000,A87))</f>
        <v/>
      </c>
      <c r="H87" s="12" t="str">
        <f aca="false">IF(A87="","",F87+G87)</f>
        <v/>
      </c>
      <c r="I87" s="6"/>
      <c r="J87" s="16"/>
      <c r="K87" s="12" t="str">
        <f aca="false">IF(A87="","",IF(H87&gt;='Reference Tables'!$B$16,"Yes — issue Black card","-"))</f>
        <v/>
      </c>
    </row>
    <row r="88" customFormat="false" ht="15" hidden="false" customHeight="false" outlineLevel="0" collapsed="false">
      <c r="A88" s="6"/>
      <c r="B88" s="6"/>
      <c r="C88" s="6"/>
      <c r="D88" s="11"/>
      <c r="E88" s="6"/>
      <c r="F88" s="12" t="n">
        <f aca="false">IF(E88="",0,IFERROR(INDEX('Silver Registry'!$H$4:$H$103,MATCH(E88,'Silver Registry'!$A$4:$A$103,0)),0))</f>
        <v>0</v>
      </c>
      <c r="G88" s="12" t="str">
        <f aca="false">IF(A88="","",SUMIFS('Gold Log'!$F$4:$F$1000,'Gold Log'!$B$4:$B$1000,A88))</f>
        <v/>
      </c>
      <c r="H88" s="12" t="str">
        <f aca="false">IF(A88="","",F88+G88)</f>
        <v/>
      </c>
      <c r="I88" s="6"/>
      <c r="J88" s="16"/>
      <c r="K88" s="12" t="str">
        <f aca="false">IF(A88="","",IF(H88&gt;='Reference Tables'!$B$16,"Yes — issue Black card","-"))</f>
        <v/>
      </c>
    </row>
    <row r="89" customFormat="false" ht="15" hidden="false" customHeight="false" outlineLevel="0" collapsed="false">
      <c r="A89" s="6"/>
      <c r="B89" s="6"/>
      <c r="C89" s="6"/>
      <c r="D89" s="11"/>
      <c r="E89" s="6"/>
      <c r="F89" s="12" t="n">
        <f aca="false">IF(E89="",0,IFERROR(INDEX('Silver Registry'!$H$4:$H$103,MATCH(E89,'Silver Registry'!$A$4:$A$103,0)),0))</f>
        <v>0</v>
      </c>
      <c r="G89" s="12" t="str">
        <f aca="false">IF(A89="","",SUMIFS('Gold Log'!$F$4:$F$1000,'Gold Log'!$B$4:$B$1000,A89))</f>
        <v/>
      </c>
      <c r="H89" s="12" t="str">
        <f aca="false">IF(A89="","",F89+G89)</f>
        <v/>
      </c>
      <c r="I89" s="6"/>
      <c r="J89" s="16"/>
      <c r="K89" s="12" t="str">
        <f aca="false">IF(A89="","",IF(H89&gt;='Reference Tables'!$B$16,"Yes — issue Black card","-"))</f>
        <v/>
      </c>
    </row>
    <row r="90" customFormat="false" ht="15" hidden="false" customHeight="false" outlineLevel="0" collapsed="false">
      <c r="A90" s="6"/>
      <c r="B90" s="6"/>
      <c r="C90" s="6"/>
      <c r="D90" s="11"/>
      <c r="E90" s="6"/>
      <c r="F90" s="12" t="n">
        <f aca="false">IF(E90="",0,IFERROR(INDEX('Silver Registry'!$H$4:$H$103,MATCH(E90,'Silver Registry'!$A$4:$A$103,0)),0))</f>
        <v>0</v>
      </c>
      <c r="G90" s="12" t="str">
        <f aca="false">IF(A90="","",SUMIFS('Gold Log'!$F$4:$F$1000,'Gold Log'!$B$4:$B$1000,A90))</f>
        <v/>
      </c>
      <c r="H90" s="12" t="str">
        <f aca="false">IF(A90="","",F90+G90)</f>
        <v/>
      </c>
      <c r="I90" s="6"/>
      <c r="J90" s="16"/>
      <c r="K90" s="12" t="str">
        <f aca="false">IF(A90="","",IF(H90&gt;='Reference Tables'!$B$16,"Yes — issue Black card","-"))</f>
        <v/>
      </c>
    </row>
    <row r="91" customFormat="false" ht="15" hidden="false" customHeight="false" outlineLevel="0" collapsed="false">
      <c r="A91" s="6"/>
      <c r="B91" s="6"/>
      <c r="C91" s="6"/>
      <c r="D91" s="11"/>
      <c r="E91" s="6"/>
      <c r="F91" s="12" t="n">
        <f aca="false">IF(E91="",0,IFERROR(INDEX('Silver Registry'!$H$4:$H$103,MATCH(E91,'Silver Registry'!$A$4:$A$103,0)),0))</f>
        <v>0</v>
      </c>
      <c r="G91" s="12" t="str">
        <f aca="false">IF(A91="","",SUMIFS('Gold Log'!$F$4:$F$1000,'Gold Log'!$B$4:$B$1000,A91))</f>
        <v/>
      </c>
      <c r="H91" s="12" t="str">
        <f aca="false">IF(A91="","",F91+G91)</f>
        <v/>
      </c>
      <c r="I91" s="6"/>
      <c r="J91" s="16"/>
      <c r="K91" s="12" t="str">
        <f aca="false">IF(A91="","",IF(H91&gt;='Reference Tables'!$B$16,"Yes — issue Black card","-"))</f>
        <v/>
      </c>
    </row>
    <row r="92" customFormat="false" ht="15" hidden="false" customHeight="false" outlineLevel="0" collapsed="false">
      <c r="A92" s="6"/>
      <c r="B92" s="6"/>
      <c r="C92" s="6"/>
      <c r="D92" s="11"/>
      <c r="E92" s="6"/>
      <c r="F92" s="12" t="n">
        <f aca="false">IF(E92="",0,IFERROR(INDEX('Silver Registry'!$H$4:$H$103,MATCH(E92,'Silver Registry'!$A$4:$A$103,0)),0))</f>
        <v>0</v>
      </c>
      <c r="G92" s="12" t="str">
        <f aca="false">IF(A92="","",SUMIFS('Gold Log'!$F$4:$F$1000,'Gold Log'!$B$4:$B$1000,A92))</f>
        <v/>
      </c>
      <c r="H92" s="12" t="str">
        <f aca="false">IF(A92="","",F92+G92)</f>
        <v/>
      </c>
      <c r="I92" s="6"/>
      <c r="J92" s="16"/>
      <c r="K92" s="12" t="str">
        <f aca="false">IF(A92="","",IF(H92&gt;='Reference Tables'!$B$16,"Yes — issue Black card","-"))</f>
        <v/>
      </c>
    </row>
    <row r="93" customFormat="false" ht="15" hidden="false" customHeight="false" outlineLevel="0" collapsed="false">
      <c r="A93" s="6"/>
      <c r="B93" s="6"/>
      <c r="C93" s="6"/>
      <c r="D93" s="11"/>
      <c r="E93" s="6"/>
      <c r="F93" s="12" t="n">
        <f aca="false">IF(E93="",0,IFERROR(INDEX('Silver Registry'!$H$4:$H$103,MATCH(E93,'Silver Registry'!$A$4:$A$103,0)),0))</f>
        <v>0</v>
      </c>
      <c r="G93" s="12" t="str">
        <f aca="false">IF(A93="","",SUMIFS('Gold Log'!$F$4:$F$1000,'Gold Log'!$B$4:$B$1000,A93))</f>
        <v/>
      </c>
      <c r="H93" s="12" t="str">
        <f aca="false">IF(A93="","",F93+G93)</f>
        <v/>
      </c>
      <c r="I93" s="6"/>
      <c r="J93" s="16"/>
      <c r="K93" s="12" t="str">
        <f aca="false">IF(A93="","",IF(H93&gt;='Reference Tables'!$B$16,"Yes — issue Black card","-"))</f>
        <v/>
      </c>
    </row>
    <row r="94" customFormat="false" ht="15" hidden="false" customHeight="false" outlineLevel="0" collapsed="false">
      <c r="A94" s="6"/>
      <c r="B94" s="6"/>
      <c r="C94" s="6"/>
      <c r="D94" s="11"/>
      <c r="E94" s="6"/>
      <c r="F94" s="12" t="n">
        <f aca="false">IF(E94="",0,IFERROR(INDEX('Silver Registry'!$H$4:$H$103,MATCH(E94,'Silver Registry'!$A$4:$A$103,0)),0))</f>
        <v>0</v>
      </c>
      <c r="G94" s="12" t="str">
        <f aca="false">IF(A94="","",SUMIFS('Gold Log'!$F$4:$F$1000,'Gold Log'!$B$4:$B$1000,A94))</f>
        <v/>
      </c>
      <c r="H94" s="12" t="str">
        <f aca="false">IF(A94="","",F94+G94)</f>
        <v/>
      </c>
      <c r="I94" s="6"/>
      <c r="J94" s="16"/>
      <c r="K94" s="12" t="str">
        <f aca="false">IF(A94="","",IF(H94&gt;='Reference Tables'!$B$16,"Yes — issue Black card","-"))</f>
        <v/>
      </c>
    </row>
    <row r="95" customFormat="false" ht="15" hidden="false" customHeight="false" outlineLevel="0" collapsed="false">
      <c r="A95" s="6"/>
      <c r="B95" s="6"/>
      <c r="C95" s="6"/>
      <c r="D95" s="11"/>
      <c r="E95" s="6"/>
      <c r="F95" s="12" t="n">
        <f aca="false">IF(E95="",0,IFERROR(INDEX('Silver Registry'!$H$4:$H$103,MATCH(E95,'Silver Registry'!$A$4:$A$103,0)),0))</f>
        <v>0</v>
      </c>
      <c r="G95" s="12" t="str">
        <f aca="false">IF(A95="","",SUMIFS('Gold Log'!$F$4:$F$1000,'Gold Log'!$B$4:$B$1000,A95))</f>
        <v/>
      </c>
      <c r="H95" s="12" t="str">
        <f aca="false">IF(A95="","",F95+G95)</f>
        <v/>
      </c>
      <c r="I95" s="6"/>
      <c r="J95" s="16"/>
      <c r="K95" s="12" t="str">
        <f aca="false">IF(A95="","",IF(H95&gt;='Reference Tables'!$B$16,"Yes — issue Black card","-"))</f>
        <v/>
      </c>
    </row>
    <row r="96" customFormat="false" ht="15" hidden="false" customHeight="false" outlineLevel="0" collapsed="false">
      <c r="A96" s="6"/>
      <c r="B96" s="6"/>
      <c r="C96" s="6"/>
      <c r="D96" s="11"/>
      <c r="E96" s="6"/>
      <c r="F96" s="12" t="n">
        <f aca="false">IF(E96="",0,IFERROR(INDEX('Silver Registry'!$H$4:$H$103,MATCH(E96,'Silver Registry'!$A$4:$A$103,0)),0))</f>
        <v>0</v>
      </c>
      <c r="G96" s="12" t="str">
        <f aca="false">IF(A96="","",SUMIFS('Gold Log'!$F$4:$F$1000,'Gold Log'!$B$4:$B$1000,A96))</f>
        <v/>
      </c>
      <c r="H96" s="12" t="str">
        <f aca="false">IF(A96="","",F96+G96)</f>
        <v/>
      </c>
      <c r="I96" s="6"/>
      <c r="J96" s="16"/>
      <c r="K96" s="12" t="str">
        <f aca="false">IF(A96="","",IF(H96&gt;='Reference Tables'!$B$16,"Yes — issue Black card","-"))</f>
        <v/>
      </c>
    </row>
    <row r="97" customFormat="false" ht="15" hidden="false" customHeight="false" outlineLevel="0" collapsed="false">
      <c r="A97" s="6"/>
      <c r="B97" s="6"/>
      <c r="C97" s="6"/>
      <c r="D97" s="11"/>
      <c r="E97" s="6"/>
      <c r="F97" s="12" t="n">
        <f aca="false">IF(E97="",0,IFERROR(INDEX('Silver Registry'!$H$4:$H$103,MATCH(E97,'Silver Registry'!$A$4:$A$103,0)),0))</f>
        <v>0</v>
      </c>
      <c r="G97" s="12" t="str">
        <f aca="false">IF(A97="","",SUMIFS('Gold Log'!$F$4:$F$1000,'Gold Log'!$B$4:$B$1000,A97))</f>
        <v/>
      </c>
      <c r="H97" s="12" t="str">
        <f aca="false">IF(A97="","",F97+G97)</f>
        <v/>
      </c>
      <c r="I97" s="6"/>
      <c r="J97" s="16"/>
      <c r="K97" s="12" t="str">
        <f aca="false">IF(A97="","",IF(H97&gt;='Reference Tables'!$B$16,"Yes — issue Black card","-"))</f>
        <v/>
      </c>
    </row>
    <row r="98" customFormat="false" ht="15" hidden="false" customHeight="false" outlineLevel="0" collapsed="false">
      <c r="A98" s="6"/>
      <c r="B98" s="6"/>
      <c r="C98" s="6"/>
      <c r="D98" s="11"/>
      <c r="E98" s="6"/>
      <c r="F98" s="12" t="n">
        <f aca="false">IF(E98="",0,IFERROR(INDEX('Silver Registry'!$H$4:$H$103,MATCH(E98,'Silver Registry'!$A$4:$A$103,0)),0))</f>
        <v>0</v>
      </c>
      <c r="G98" s="12" t="str">
        <f aca="false">IF(A98="","",SUMIFS('Gold Log'!$F$4:$F$1000,'Gold Log'!$B$4:$B$1000,A98))</f>
        <v/>
      </c>
      <c r="H98" s="12" t="str">
        <f aca="false">IF(A98="","",F98+G98)</f>
        <v/>
      </c>
      <c r="I98" s="6"/>
      <c r="J98" s="16"/>
      <c r="K98" s="12" t="str">
        <f aca="false">IF(A98="","",IF(H98&gt;='Reference Tables'!$B$16,"Yes — issue Black card","-"))</f>
        <v/>
      </c>
    </row>
    <row r="99" customFormat="false" ht="15" hidden="false" customHeight="false" outlineLevel="0" collapsed="false">
      <c r="A99" s="6"/>
      <c r="B99" s="6"/>
      <c r="C99" s="6"/>
      <c r="D99" s="11"/>
      <c r="E99" s="6"/>
      <c r="F99" s="12" t="n">
        <f aca="false">IF(E99="",0,IFERROR(INDEX('Silver Registry'!$H$4:$H$103,MATCH(E99,'Silver Registry'!$A$4:$A$103,0)),0))</f>
        <v>0</v>
      </c>
      <c r="G99" s="12" t="str">
        <f aca="false">IF(A99="","",SUMIFS('Gold Log'!$F$4:$F$1000,'Gold Log'!$B$4:$B$1000,A99))</f>
        <v/>
      </c>
      <c r="H99" s="12" t="str">
        <f aca="false">IF(A99="","",F99+G99)</f>
        <v/>
      </c>
      <c r="I99" s="6"/>
      <c r="J99" s="16"/>
      <c r="K99" s="12" t="str">
        <f aca="false">IF(A99="","",IF(H99&gt;='Reference Tables'!$B$16,"Yes — issue Black card","-"))</f>
        <v/>
      </c>
    </row>
    <row r="100" customFormat="false" ht="15" hidden="false" customHeight="false" outlineLevel="0" collapsed="false">
      <c r="A100" s="6"/>
      <c r="B100" s="6"/>
      <c r="C100" s="6"/>
      <c r="D100" s="11"/>
      <c r="E100" s="6"/>
      <c r="F100" s="12" t="n">
        <f aca="false">IF(E100="",0,IFERROR(INDEX('Silver Registry'!$H$4:$H$103,MATCH(E100,'Silver Registry'!$A$4:$A$103,0)),0))</f>
        <v>0</v>
      </c>
      <c r="G100" s="12" t="str">
        <f aca="false">IF(A100="","",SUMIFS('Gold Log'!$F$4:$F$1000,'Gold Log'!$B$4:$B$1000,A100))</f>
        <v/>
      </c>
      <c r="H100" s="12" t="str">
        <f aca="false">IF(A100="","",F100+G100)</f>
        <v/>
      </c>
      <c r="I100" s="6"/>
      <c r="J100" s="16"/>
      <c r="K100" s="12" t="str">
        <f aca="false">IF(A100="","",IF(H100&gt;='Reference Tables'!$B$16,"Yes — issue Black card","-"))</f>
        <v/>
      </c>
    </row>
    <row r="101" customFormat="false" ht="15" hidden="false" customHeight="false" outlineLevel="0" collapsed="false">
      <c r="A101" s="6"/>
      <c r="B101" s="6"/>
      <c r="C101" s="6"/>
      <c r="D101" s="11"/>
      <c r="E101" s="6"/>
      <c r="F101" s="12" t="n">
        <f aca="false">IF(E101="",0,IFERROR(INDEX('Silver Registry'!$H$4:$H$103,MATCH(E101,'Silver Registry'!$A$4:$A$103,0)),0))</f>
        <v>0</v>
      </c>
      <c r="G101" s="12" t="str">
        <f aca="false">IF(A101="","",SUMIFS('Gold Log'!$F$4:$F$1000,'Gold Log'!$B$4:$B$1000,A101))</f>
        <v/>
      </c>
      <c r="H101" s="12" t="str">
        <f aca="false">IF(A101="","",F101+G101)</f>
        <v/>
      </c>
      <c r="I101" s="6"/>
      <c r="J101" s="16"/>
      <c r="K101" s="12" t="str">
        <f aca="false">IF(A101="","",IF(H101&gt;='Reference Tables'!$B$16,"Yes — issue Black card","-"))</f>
        <v/>
      </c>
    </row>
    <row r="102" customFormat="false" ht="15" hidden="false" customHeight="false" outlineLevel="0" collapsed="false">
      <c r="A102" s="6"/>
      <c r="B102" s="6"/>
      <c r="C102" s="6"/>
      <c r="D102" s="11"/>
      <c r="E102" s="6"/>
      <c r="F102" s="12" t="n">
        <f aca="false">IF(E102="",0,IFERROR(INDEX('Silver Registry'!$H$4:$H$103,MATCH(E102,'Silver Registry'!$A$4:$A$103,0)),0))</f>
        <v>0</v>
      </c>
      <c r="G102" s="12" t="str">
        <f aca="false">IF(A102="","",SUMIFS('Gold Log'!$F$4:$F$1000,'Gold Log'!$B$4:$B$1000,A102))</f>
        <v/>
      </c>
      <c r="H102" s="12" t="str">
        <f aca="false">IF(A102="","",F102+G102)</f>
        <v/>
      </c>
      <c r="I102" s="6"/>
      <c r="J102" s="16"/>
      <c r="K102" s="12" t="str">
        <f aca="false">IF(A102="","",IF(H102&gt;='Reference Tables'!$B$16,"Yes — issue Black card","-"))</f>
        <v/>
      </c>
    </row>
    <row r="103" customFormat="false" ht="15" hidden="false" customHeight="false" outlineLevel="0" collapsed="false">
      <c r="A103" s="6"/>
      <c r="B103" s="6"/>
      <c r="C103" s="6"/>
      <c r="D103" s="11"/>
      <c r="E103" s="6"/>
      <c r="F103" s="12" t="n">
        <f aca="false">IF(E103="",0,IFERROR(INDEX('Silver Registry'!$H$4:$H$103,MATCH(E103,'Silver Registry'!$A$4:$A$103,0)),0))</f>
        <v>0</v>
      </c>
      <c r="G103" s="12" t="str">
        <f aca="false">IF(A103="","",SUMIFS('Gold Log'!$F$4:$F$1000,'Gold Log'!$B$4:$B$1000,A103))</f>
        <v/>
      </c>
      <c r="H103" s="12" t="str">
        <f aca="false">IF(A103="","",F103+G103)</f>
        <v/>
      </c>
      <c r="I103" s="6"/>
      <c r="J103" s="16"/>
      <c r="K103" s="12" t="str">
        <f aca="false">IF(A103="","",IF(H103&gt;='Reference Tables'!$B$16,"Yes — issue Black card","-"))</f>
        <v/>
      </c>
    </row>
  </sheetData>
  <dataValidations count="2">
    <dataValidation allowBlank="true" errorStyle="stop" operator="between" showDropDown="false" showErrorMessage="false" showInputMessage="false" sqref="I4:I103" type="list">
      <formula1>"Y,N"</formula1>
      <formula2>0</formula2>
    </dataValidation>
    <dataValidation allowBlank="true" errorStyle="stop" operator="between" showDropDown="false" showErrorMessage="false" showInputMessage="false" sqref="J4:J103" type="list">
      <formula1>"Active,Upgraded"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20"/>
    <col collapsed="false" customWidth="true" hidden="false" outlineLevel="0" max="4" min="4" style="0" width="18"/>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9" min="8" style="0" width="15"/>
    <col collapsed="false" customWidth="true" hidden="false" outlineLevel="0" max="10" min="10" style="0" width="16"/>
    <col collapsed="false" customWidth="true" hidden="false" outlineLevel="0" max="11" min="11" style="0" width="15"/>
    <col collapsed="false" customWidth="true" hidden="false" outlineLevel="0" max="12" min="12" style="0" width="22"/>
  </cols>
  <sheetData>
    <row r="1" customFormat="false" ht="17.35" hidden="false" customHeight="false" outlineLevel="0" collapsed="false">
      <c r="A1" s="1" t="s">
        <v>90</v>
      </c>
    </row>
    <row r="2" customFormat="false" ht="15" hidden="false" customHeight="false" outlineLevel="0" collapsed="false">
      <c r="A2" s="2" t="s">
        <v>91</v>
      </c>
    </row>
    <row r="3" customFormat="false" ht="31.5" hidden="false" customHeight="true" outlineLevel="0" collapsed="false">
      <c r="A3" s="17" t="s">
        <v>68</v>
      </c>
      <c r="B3" s="17" t="s">
        <v>53</v>
      </c>
      <c r="C3" s="17" t="s">
        <v>54</v>
      </c>
      <c r="D3" s="17" t="s">
        <v>69</v>
      </c>
      <c r="E3" s="17" t="s">
        <v>32</v>
      </c>
      <c r="F3" s="17" t="s">
        <v>33</v>
      </c>
      <c r="G3" s="17" t="s">
        <v>44</v>
      </c>
      <c r="H3" s="17" t="s">
        <v>70</v>
      </c>
      <c r="I3" s="17" t="s">
        <v>71</v>
      </c>
      <c r="J3" s="17" t="s">
        <v>72</v>
      </c>
      <c r="K3" s="17" t="s">
        <v>73</v>
      </c>
      <c r="L3" s="17" t="s">
        <v>74</v>
      </c>
    </row>
    <row r="4" customFormat="false" ht="15" hidden="false" customHeight="false" outlineLevel="0" collapsed="false">
      <c r="A4" s="11" t="s">
        <v>75</v>
      </c>
      <c r="B4" s="6" t="s">
        <v>89</v>
      </c>
      <c r="C4" s="12" t="str">
        <f aca="false">IF(B4="","",IFERROR(INDEX('Gold Registry'!$B$4:$B$103,MATCH(B4,'Gold Registry'!$A$4:$A$103,0)),"Not found"))</f>
        <v>Juan Dela Cruz</v>
      </c>
      <c r="D4" s="6" t="s">
        <v>37</v>
      </c>
      <c r="E4" s="13" t="n">
        <f aca="false">IF(D4="","",IFERROR(INDEX('Reference Tables'!$B$3:$B$8,MATCH(D4,'Reference Tables'!$A$3:$A$8,0)),"Invalid package"))</f>
        <v>100</v>
      </c>
      <c r="F4" s="12" t="n">
        <f aca="false">IF(D4="","",IFERROR(INDEX('Reference Tables'!$C$3:$C$8,MATCH(D4,'Reference Tables'!$A$3:$A$8,0)),"Invalid package"))</f>
        <v>10</v>
      </c>
      <c r="G4" s="14" t="n">
        <f aca="false">IF(E4="","",'Reference Tables'!$C$15)</f>
        <v>0.1</v>
      </c>
      <c r="H4" s="12" t="str">
        <f aca="false">IF(E4="","",IF(E4&gt;=150,"Yes","No"))</f>
        <v>No</v>
      </c>
      <c r="I4" s="13" t="n">
        <f aca="false">IF(E4="","",IF(H4="Yes",E4*G4,0))</f>
        <v>0</v>
      </c>
      <c r="J4" s="13" t="n">
        <f aca="false">IF(E4="","",E4-I4)</f>
        <v>100</v>
      </c>
      <c r="K4" s="6" t="s">
        <v>76</v>
      </c>
      <c r="L4" s="6" t="s">
        <v>77</v>
      </c>
    </row>
    <row r="5" customFormat="false" ht="15" hidden="false" customHeight="false" outlineLevel="0" collapsed="false">
      <c r="A5" s="11"/>
      <c r="B5" s="6"/>
      <c r="C5" s="12" t="str">
        <f aca="false">IF(B5="","",IFERROR(INDEX('Gold Registry'!$B$4:$B$103,MATCH(B5,'Gold Registry'!$A$4:$A$103,0)),"Not found"))</f>
        <v/>
      </c>
      <c r="D5" s="6"/>
      <c r="E5" s="13" t="str">
        <f aca="false">IF(D5="","",IFERROR(INDEX('Reference Tables'!$B$3:$B$8,MATCH(D5,'Reference Tables'!$A$3:$A$8,0)),"Invalid package"))</f>
        <v/>
      </c>
      <c r="F5" s="12" t="str">
        <f aca="false">IF(D5="","",IFERROR(INDEX('Reference Tables'!$C$3:$C$8,MATCH(D5,'Reference Tables'!$A$3:$A$8,0)),"Invalid package"))</f>
        <v/>
      </c>
      <c r="G5" s="14" t="str">
        <f aca="false">IF(E5="","",'Reference Tables'!$C$15)</f>
        <v/>
      </c>
      <c r="H5" s="12" t="str">
        <f aca="false">IF(E5="","",IF(E5&gt;=150,"Yes","No"))</f>
        <v/>
      </c>
      <c r="I5" s="13" t="str">
        <f aca="false">IF(E5="","",IF(H5="Yes",E5*G5,0))</f>
        <v/>
      </c>
      <c r="J5" s="13" t="str">
        <f aca="false">IF(E5="","",E5-I5)</f>
        <v/>
      </c>
      <c r="K5" s="6"/>
      <c r="L5" s="6"/>
    </row>
    <row r="6" customFormat="false" ht="15" hidden="false" customHeight="false" outlineLevel="0" collapsed="false">
      <c r="A6" s="11"/>
      <c r="B6" s="6"/>
      <c r="C6" s="12" t="str">
        <f aca="false">IF(B6="","",IFERROR(INDEX('Gold Registry'!$B$4:$B$103,MATCH(B6,'Gold Registry'!$A$4:$A$103,0)),"Not found"))</f>
        <v/>
      </c>
      <c r="D6" s="6"/>
      <c r="E6" s="13" t="str">
        <f aca="false">IF(D6="","",IFERROR(INDEX('Reference Tables'!$B$3:$B$8,MATCH(D6,'Reference Tables'!$A$3:$A$8,0)),"Invalid package"))</f>
        <v/>
      </c>
      <c r="F6" s="12" t="str">
        <f aca="false">IF(D6="","",IFERROR(INDEX('Reference Tables'!$C$3:$C$8,MATCH(D6,'Reference Tables'!$A$3:$A$8,0)),"Invalid package"))</f>
        <v/>
      </c>
      <c r="G6" s="14" t="str">
        <f aca="false">IF(E6="","",'Reference Tables'!$C$15)</f>
        <v/>
      </c>
      <c r="H6" s="12" t="str">
        <f aca="false">IF(E6="","",IF(E6&gt;=150,"Yes","No"))</f>
        <v/>
      </c>
      <c r="I6" s="13" t="str">
        <f aca="false">IF(E6="","",IF(H6="Yes",E6*G6,0))</f>
        <v/>
      </c>
      <c r="J6" s="13" t="str">
        <f aca="false">IF(E6="","",E6-I6)</f>
        <v/>
      </c>
      <c r="K6" s="6"/>
      <c r="L6" s="6"/>
    </row>
    <row r="7" customFormat="false" ht="15" hidden="false" customHeight="false" outlineLevel="0" collapsed="false">
      <c r="A7" s="11"/>
      <c r="B7" s="6"/>
      <c r="C7" s="12" t="str">
        <f aca="false">IF(B7="","",IFERROR(INDEX('Gold Registry'!$B$4:$B$103,MATCH(B7,'Gold Registry'!$A$4:$A$103,0)),"Not found"))</f>
        <v/>
      </c>
      <c r="D7" s="6"/>
      <c r="E7" s="13" t="str">
        <f aca="false">IF(D7="","",IFERROR(INDEX('Reference Tables'!$B$3:$B$8,MATCH(D7,'Reference Tables'!$A$3:$A$8,0)),"Invalid package"))</f>
        <v/>
      </c>
      <c r="F7" s="12" t="str">
        <f aca="false">IF(D7="","",IFERROR(INDEX('Reference Tables'!$C$3:$C$8,MATCH(D7,'Reference Tables'!$A$3:$A$8,0)),"Invalid package"))</f>
        <v/>
      </c>
      <c r="G7" s="14" t="str">
        <f aca="false">IF(E7="","",'Reference Tables'!$C$15)</f>
        <v/>
      </c>
      <c r="H7" s="12" t="str">
        <f aca="false">IF(E7="","",IF(E7&gt;=150,"Yes","No"))</f>
        <v/>
      </c>
      <c r="I7" s="13" t="str">
        <f aca="false">IF(E7="","",IF(H7="Yes",E7*G7,0))</f>
        <v/>
      </c>
      <c r="J7" s="13" t="str">
        <f aca="false">IF(E7="","",E7-I7)</f>
        <v/>
      </c>
      <c r="K7" s="6"/>
      <c r="L7" s="6"/>
    </row>
    <row r="8" customFormat="false" ht="15" hidden="false" customHeight="false" outlineLevel="0" collapsed="false">
      <c r="A8" s="11"/>
      <c r="B8" s="6"/>
      <c r="C8" s="12" t="str">
        <f aca="false">IF(B8="","",IFERROR(INDEX('Gold Registry'!$B$4:$B$103,MATCH(B8,'Gold Registry'!$A$4:$A$103,0)),"Not found"))</f>
        <v/>
      </c>
      <c r="D8" s="6"/>
      <c r="E8" s="13" t="str">
        <f aca="false">IF(D8="","",IFERROR(INDEX('Reference Tables'!$B$3:$B$8,MATCH(D8,'Reference Tables'!$A$3:$A$8,0)),"Invalid package"))</f>
        <v/>
      </c>
      <c r="F8" s="12" t="str">
        <f aca="false">IF(D8="","",IFERROR(INDEX('Reference Tables'!$C$3:$C$8,MATCH(D8,'Reference Tables'!$A$3:$A$8,0)),"Invalid package"))</f>
        <v/>
      </c>
      <c r="G8" s="14" t="str">
        <f aca="false">IF(E8="","",'Reference Tables'!$C$15)</f>
        <v/>
      </c>
      <c r="H8" s="12" t="str">
        <f aca="false">IF(E8="","",IF(E8&gt;=150,"Yes","No"))</f>
        <v/>
      </c>
      <c r="I8" s="13" t="str">
        <f aca="false">IF(E8="","",IF(H8="Yes",E8*G8,0))</f>
        <v/>
      </c>
      <c r="J8" s="13" t="str">
        <f aca="false">IF(E8="","",E8-I8)</f>
        <v/>
      </c>
      <c r="K8" s="6"/>
      <c r="L8" s="6"/>
    </row>
    <row r="9" customFormat="false" ht="15" hidden="false" customHeight="false" outlineLevel="0" collapsed="false">
      <c r="A9" s="11"/>
      <c r="B9" s="6"/>
      <c r="C9" s="12" t="str">
        <f aca="false">IF(B9="","",IFERROR(INDEX('Gold Registry'!$B$4:$B$103,MATCH(B9,'Gold Registry'!$A$4:$A$103,0)),"Not found"))</f>
        <v/>
      </c>
      <c r="D9" s="6"/>
      <c r="E9" s="13" t="str">
        <f aca="false">IF(D9="","",IFERROR(INDEX('Reference Tables'!$B$3:$B$8,MATCH(D9,'Reference Tables'!$A$3:$A$8,0)),"Invalid package"))</f>
        <v/>
      </c>
      <c r="F9" s="12" t="str">
        <f aca="false">IF(D9="","",IFERROR(INDEX('Reference Tables'!$C$3:$C$8,MATCH(D9,'Reference Tables'!$A$3:$A$8,0)),"Invalid package"))</f>
        <v/>
      </c>
      <c r="G9" s="14" t="str">
        <f aca="false">IF(E9="","",'Reference Tables'!$C$15)</f>
        <v/>
      </c>
      <c r="H9" s="12" t="str">
        <f aca="false">IF(E9="","",IF(E9&gt;=150,"Yes","No"))</f>
        <v/>
      </c>
      <c r="I9" s="13" t="str">
        <f aca="false">IF(E9="","",IF(H9="Yes",E9*G9,0))</f>
        <v/>
      </c>
      <c r="J9" s="13" t="str">
        <f aca="false">IF(E9="","",E9-I9)</f>
        <v/>
      </c>
      <c r="K9" s="6"/>
      <c r="L9" s="6"/>
    </row>
    <row r="10" customFormat="false" ht="15" hidden="false" customHeight="false" outlineLevel="0" collapsed="false">
      <c r="A10" s="11"/>
      <c r="B10" s="6"/>
      <c r="C10" s="12" t="str">
        <f aca="false">IF(B10="","",IFERROR(INDEX('Gold Registry'!$B$4:$B$103,MATCH(B10,'Gold Registry'!$A$4:$A$103,0)),"Not found"))</f>
        <v/>
      </c>
      <c r="D10" s="6"/>
      <c r="E10" s="13" t="str">
        <f aca="false">IF(D10="","",IFERROR(INDEX('Reference Tables'!$B$3:$B$8,MATCH(D10,'Reference Tables'!$A$3:$A$8,0)),"Invalid package"))</f>
        <v/>
      </c>
      <c r="F10" s="12" t="str">
        <f aca="false">IF(D10="","",IFERROR(INDEX('Reference Tables'!$C$3:$C$8,MATCH(D10,'Reference Tables'!$A$3:$A$8,0)),"Invalid package"))</f>
        <v/>
      </c>
      <c r="G10" s="14" t="str">
        <f aca="false">IF(E10="","",'Reference Tables'!$C$15)</f>
        <v/>
      </c>
      <c r="H10" s="12" t="str">
        <f aca="false">IF(E10="","",IF(E10&gt;=150,"Yes","No"))</f>
        <v/>
      </c>
      <c r="I10" s="13" t="str">
        <f aca="false">IF(E10="","",IF(H10="Yes",E10*G10,0))</f>
        <v/>
      </c>
      <c r="J10" s="13" t="str">
        <f aca="false">IF(E10="","",E10-I10)</f>
        <v/>
      </c>
      <c r="K10" s="6"/>
      <c r="L10" s="6"/>
    </row>
    <row r="11" customFormat="false" ht="15" hidden="false" customHeight="false" outlineLevel="0" collapsed="false">
      <c r="A11" s="11"/>
      <c r="B11" s="6"/>
      <c r="C11" s="12" t="str">
        <f aca="false">IF(B11="","",IFERROR(INDEX('Gold Registry'!$B$4:$B$103,MATCH(B11,'Gold Registry'!$A$4:$A$103,0)),"Not found"))</f>
        <v/>
      </c>
      <c r="D11" s="6"/>
      <c r="E11" s="13" t="str">
        <f aca="false">IF(D11="","",IFERROR(INDEX('Reference Tables'!$B$3:$B$8,MATCH(D11,'Reference Tables'!$A$3:$A$8,0)),"Invalid package"))</f>
        <v/>
      </c>
      <c r="F11" s="12" t="str">
        <f aca="false">IF(D11="","",IFERROR(INDEX('Reference Tables'!$C$3:$C$8,MATCH(D11,'Reference Tables'!$A$3:$A$8,0)),"Invalid package"))</f>
        <v/>
      </c>
      <c r="G11" s="14" t="str">
        <f aca="false">IF(E11="","",'Reference Tables'!$C$15)</f>
        <v/>
      </c>
      <c r="H11" s="12" t="str">
        <f aca="false">IF(E11="","",IF(E11&gt;=150,"Yes","No"))</f>
        <v/>
      </c>
      <c r="I11" s="13" t="str">
        <f aca="false">IF(E11="","",IF(H11="Yes",E11*G11,0))</f>
        <v/>
      </c>
      <c r="J11" s="13" t="str">
        <f aca="false">IF(E11="","",E11-I11)</f>
        <v/>
      </c>
      <c r="K11" s="6"/>
      <c r="L11" s="6"/>
    </row>
    <row r="12" customFormat="false" ht="15" hidden="false" customHeight="false" outlineLevel="0" collapsed="false">
      <c r="A12" s="11"/>
      <c r="B12" s="6"/>
      <c r="C12" s="12" t="str">
        <f aca="false">IF(B12="","",IFERROR(INDEX('Gold Registry'!$B$4:$B$103,MATCH(B12,'Gold Registry'!$A$4:$A$103,0)),"Not found"))</f>
        <v/>
      </c>
      <c r="D12" s="6"/>
      <c r="E12" s="13" t="str">
        <f aca="false">IF(D12="","",IFERROR(INDEX('Reference Tables'!$B$3:$B$8,MATCH(D12,'Reference Tables'!$A$3:$A$8,0)),"Invalid package"))</f>
        <v/>
      </c>
      <c r="F12" s="12" t="str">
        <f aca="false">IF(D12="","",IFERROR(INDEX('Reference Tables'!$C$3:$C$8,MATCH(D12,'Reference Tables'!$A$3:$A$8,0)),"Invalid package"))</f>
        <v/>
      </c>
      <c r="G12" s="14" t="str">
        <f aca="false">IF(E12="","",'Reference Tables'!$C$15)</f>
        <v/>
      </c>
      <c r="H12" s="12" t="str">
        <f aca="false">IF(E12="","",IF(E12&gt;=150,"Yes","No"))</f>
        <v/>
      </c>
      <c r="I12" s="13" t="str">
        <f aca="false">IF(E12="","",IF(H12="Yes",E12*G12,0))</f>
        <v/>
      </c>
      <c r="J12" s="13" t="str">
        <f aca="false">IF(E12="","",E12-I12)</f>
        <v/>
      </c>
      <c r="K12" s="6"/>
      <c r="L12" s="6"/>
    </row>
    <row r="13" customFormat="false" ht="15" hidden="false" customHeight="false" outlineLevel="0" collapsed="false">
      <c r="A13" s="11"/>
      <c r="B13" s="6"/>
      <c r="C13" s="12" t="str">
        <f aca="false">IF(B13="","",IFERROR(INDEX('Gold Registry'!$B$4:$B$103,MATCH(B13,'Gold Registry'!$A$4:$A$103,0)),"Not found"))</f>
        <v/>
      </c>
      <c r="D13" s="6"/>
      <c r="E13" s="13" t="str">
        <f aca="false">IF(D13="","",IFERROR(INDEX('Reference Tables'!$B$3:$B$8,MATCH(D13,'Reference Tables'!$A$3:$A$8,0)),"Invalid package"))</f>
        <v/>
      </c>
      <c r="F13" s="12" t="str">
        <f aca="false">IF(D13="","",IFERROR(INDEX('Reference Tables'!$C$3:$C$8,MATCH(D13,'Reference Tables'!$A$3:$A$8,0)),"Invalid package"))</f>
        <v/>
      </c>
      <c r="G13" s="14" t="str">
        <f aca="false">IF(E13="","",'Reference Tables'!$C$15)</f>
        <v/>
      </c>
      <c r="H13" s="12" t="str">
        <f aca="false">IF(E13="","",IF(E13&gt;=150,"Yes","No"))</f>
        <v/>
      </c>
      <c r="I13" s="13" t="str">
        <f aca="false">IF(E13="","",IF(H13="Yes",E13*G13,0))</f>
        <v/>
      </c>
      <c r="J13" s="13" t="str">
        <f aca="false">IF(E13="","",E13-I13)</f>
        <v/>
      </c>
      <c r="K13" s="6"/>
      <c r="L13" s="6"/>
    </row>
    <row r="14" customFormat="false" ht="15" hidden="false" customHeight="false" outlineLevel="0" collapsed="false">
      <c r="A14" s="11"/>
      <c r="B14" s="6"/>
      <c r="C14" s="12" t="str">
        <f aca="false">IF(B14="","",IFERROR(INDEX('Gold Registry'!$B$4:$B$103,MATCH(B14,'Gold Registry'!$A$4:$A$103,0)),"Not found"))</f>
        <v/>
      </c>
      <c r="D14" s="6"/>
      <c r="E14" s="13" t="str">
        <f aca="false">IF(D14="","",IFERROR(INDEX('Reference Tables'!$B$3:$B$8,MATCH(D14,'Reference Tables'!$A$3:$A$8,0)),"Invalid package"))</f>
        <v/>
      </c>
      <c r="F14" s="12" t="str">
        <f aca="false">IF(D14="","",IFERROR(INDEX('Reference Tables'!$C$3:$C$8,MATCH(D14,'Reference Tables'!$A$3:$A$8,0)),"Invalid package"))</f>
        <v/>
      </c>
      <c r="G14" s="14" t="str">
        <f aca="false">IF(E14="","",'Reference Tables'!$C$15)</f>
        <v/>
      </c>
      <c r="H14" s="12" t="str">
        <f aca="false">IF(E14="","",IF(E14&gt;=150,"Yes","No"))</f>
        <v/>
      </c>
      <c r="I14" s="13" t="str">
        <f aca="false">IF(E14="","",IF(H14="Yes",E14*G14,0))</f>
        <v/>
      </c>
      <c r="J14" s="13" t="str">
        <f aca="false">IF(E14="","",E14-I14)</f>
        <v/>
      </c>
      <c r="K14" s="6"/>
      <c r="L14" s="6"/>
    </row>
    <row r="15" customFormat="false" ht="15" hidden="false" customHeight="false" outlineLevel="0" collapsed="false">
      <c r="A15" s="11"/>
      <c r="B15" s="6"/>
      <c r="C15" s="12" t="str">
        <f aca="false">IF(B15="","",IFERROR(INDEX('Gold Registry'!$B$4:$B$103,MATCH(B15,'Gold Registry'!$A$4:$A$103,0)),"Not found"))</f>
        <v/>
      </c>
      <c r="D15" s="6"/>
      <c r="E15" s="13" t="str">
        <f aca="false">IF(D15="","",IFERROR(INDEX('Reference Tables'!$B$3:$B$8,MATCH(D15,'Reference Tables'!$A$3:$A$8,0)),"Invalid package"))</f>
        <v/>
      </c>
      <c r="F15" s="12" t="str">
        <f aca="false">IF(D15="","",IFERROR(INDEX('Reference Tables'!$C$3:$C$8,MATCH(D15,'Reference Tables'!$A$3:$A$8,0)),"Invalid package"))</f>
        <v/>
      </c>
      <c r="G15" s="14" t="str">
        <f aca="false">IF(E15="","",'Reference Tables'!$C$15)</f>
        <v/>
      </c>
      <c r="H15" s="12" t="str">
        <f aca="false">IF(E15="","",IF(E15&gt;=150,"Yes","No"))</f>
        <v/>
      </c>
      <c r="I15" s="13" t="str">
        <f aca="false">IF(E15="","",IF(H15="Yes",E15*G15,0))</f>
        <v/>
      </c>
      <c r="J15" s="13" t="str">
        <f aca="false">IF(E15="","",E15-I15)</f>
        <v/>
      </c>
      <c r="K15" s="6"/>
      <c r="L15" s="6"/>
    </row>
    <row r="16" customFormat="false" ht="15" hidden="false" customHeight="false" outlineLevel="0" collapsed="false">
      <c r="A16" s="11"/>
      <c r="B16" s="6"/>
      <c r="C16" s="12" t="str">
        <f aca="false">IF(B16="","",IFERROR(INDEX('Gold Registry'!$B$4:$B$103,MATCH(B16,'Gold Registry'!$A$4:$A$103,0)),"Not found"))</f>
        <v/>
      </c>
      <c r="D16" s="6"/>
      <c r="E16" s="13" t="str">
        <f aca="false">IF(D16="","",IFERROR(INDEX('Reference Tables'!$B$3:$B$8,MATCH(D16,'Reference Tables'!$A$3:$A$8,0)),"Invalid package"))</f>
        <v/>
      </c>
      <c r="F16" s="12" t="str">
        <f aca="false">IF(D16="","",IFERROR(INDEX('Reference Tables'!$C$3:$C$8,MATCH(D16,'Reference Tables'!$A$3:$A$8,0)),"Invalid package"))</f>
        <v/>
      </c>
      <c r="G16" s="14" t="str">
        <f aca="false">IF(E16="","",'Reference Tables'!$C$15)</f>
        <v/>
      </c>
      <c r="H16" s="12" t="str">
        <f aca="false">IF(E16="","",IF(E16&gt;=150,"Yes","No"))</f>
        <v/>
      </c>
      <c r="I16" s="13" t="str">
        <f aca="false">IF(E16="","",IF(H16="Yes",E16*G16,0))</f>
        <v/>
      </c>
      <c r="J16" s="13" t="str">
        <f aca="false">IF(E16="","",E16-I16)</f>
        <v/>
      </c>
      <c r="K16" s="6"/>
      <c r="L16" s="6"/>
    </row>
    <row r="17" customFormat="false" ht="15" hidden="false" customHeight="false" outlineLevel="0" collapsed="false">
      <c r="A17" s="11"/>
      <c r="B17" s="6"/>
      <c r="C17" s="12" t="str">
        <f aca="false">IF(B17="","",IFERROR(INDEX('Gold Registry'!$B$4:$B$103,MATCH(B17,'Gold Registry'!$A$4:$A$103,0)),"Not found"))</f>
        <v/>
      </c>
      <c r="D17" s="6"/>
      <c r="E17" s="13" t="str">
        <f aca="false">IF(D17="","",IFERROR(INDEX('Reference Tables'!$B$3:$B$8,MATCH(D17,'Reference Tables'!$A$3:$A$8,0)),"Invalid package"))</f>
        <v/>
      </c>
      <c r="F17" s="12" t="str">
        <f aca="false">IF(D17="","",IFERROR(INDEX('Reference Tables'!$C$3:$C$8,MATCH(D17,'Reference Tables'!$A$3:$A$8,0)),"Invalid package"))</f>
        <v/>
      </c>
      <c r="G17" s="14" t="str">
        <f aca="false">IF(E17="","",'Reference Tables'!$C$15)</f>
        <v/>
      </c>
      <c r="H17" s="12" t="str">
        <f aca="false">IF(E17="","",IF(E17&gt;=150,"Yes","No"))</f>
        <v/>
      </c>
      <c r="I17" s="13" t="str">
        <f aca="false">IF(E17="","",IF(H17="Yes",E17*G17,0))</f>
        <v/>
      </c>
      <c r="J17" s="13" t="str">
        <f aca="false">IF(E17="","",E17-I17)</f>
        <v/>
      </c>
      <c r="K17" s="6"/>
      <c r="L17" s="6"/>
    </row>
    <row r="18" customFormat="false" ht="15" hidden="false" customHeight="false" outlineLevel="0" collapsed="false">
      <c r="A18" s="11"/>
      <c r="B18" s="6"/>
      <c r="C18" s="12" t="str">
        <f aca="false">IF(B18="","",IFERROR(INDEX('Gold Registry'!$B$4:$B$103,MATCH(B18,'Gold Registry'!$A$4:$A$103,0)),"Not found"))</f>
        <v/>
      </c>
      <c r="D18" s="6"/>
      <c r="E18" s="13" t="str">
        <f aca="false">IF(D18="","",IFERROR(INDEX('Reference Tables'!$B$3:$B$8,MATCH(D18,'Reference Tables'!$A$3:$A$8,0)),"Invalid package"))</f>
        <v/>
      </c>
      <c r="F18" s="12" t="str">
        <f aca="false">IF(D18="","",IFERROR(INDEX('Reference Tables'!$C$3:$C$8,MATCH(D18,'Reference Tables'!$A$3:$A$8,0)),"Invalid package"))</f>
        <v/>
      </c>
      <c r="G18" s="14" t="str">
        <f aca="false">IF(E18="","",'Reference Tables'!$C$15)</f>
        <v/>
      </c>
      <c r="H18" s="12" t="str">
        <f aca="false">IF(E18="","",IF(E18&gt;=150,"Yes","No"))</f>
        <v/>
      </c>
      <c r="I18" s="13" t="str">
        <f aca="false">IF(E18="","",IF(H18="Yes",E18*G18,0))</f>
        <v/>
      </c>
      <c r="J18" s="13" t="str">
        <f aca="false">IF(E18="","",E18-I18)</f>
        <v/>
      </c>
      <c r="K18" s="6"/>
      <c r="L18" s="6"/>
    </row>
    <row r="19" customFormat="false" ht="15" hidden="false" customHeight="false" outlineLevel="0" collapsed="false">
      <c r="A19" s="11"/>
      <c r="B19" s="6"/>
      <c r="C19" s="12" t="str">
        <f aca="false">IF(B19="","",IFERROR(INDEX('Gold Registry'!$B$4:$B$103,MATCH(B19,'Gold Registry'!$A$4:$A$103,0)),"Not found"))</f>
        <v/>
      </c>
      <c r="D19" s="6"/>
      <c r="E19" s="13" t="str">
        <f aca="false">IF(D19="","",IFERROR(INDEX('Reference Tables'!$B$3:$B$8,MATCH(D19,'Reference Tables'!$A$3:$A$8,0)),"Invalid package"))</f>
        <v/>
      </c>
      <c r="F19" s="12" t="str">
        <f aca="false">IF(D19="","",IFERROR(INDEX('Reference Tables'!$C$3:$C$8,MATCH(D19,'Reference Tables'!$A$3:$A$8,0)),"Invalid package"))</f>
        <v/>
      </c>
      <c r="G19" s="14" t="str">
        <f aca="false">IF(E19="","",'Reference Tables'!$C$15)</f>
        <v/>
      </c>
      <c r="H19" s="12" t="str">
        <f aca="false">IF(E19="","",IF(E19&gt;=150,"Yes","No"))</f>
        <v/>
      </c>
      <c r="I19" s="13" t="str">
        <f aca="false">IF(E19="","",IF(H19="Yes",E19*G19,0))</f>
        <v/>
      </c>
      <c r="J19" s="13" t="str">
        <f aca="false">IF(E19="","",E19-I19)</f>
        <v/>
      </c>
      <c r="K19" s="6"/>
      <c r="L19" s="6"/>
    </row>
    <row r="20" customFormat="false" ht="15" hidden="false" customHeight="false" outlineLevel="0" collapsed="false">
      <c r="A20" s="11"/>
      <c r="B20" s="6"/>
      <c r="C20" s="12" t="str">
        <f aca="false">IF(B20="","",IFERROR(INDEX('Gold Registry'!$B$4:$B$103,MATCH(B20,'Gold Registry'!$A$4:$A$103,0)),"Not found"))</f>
        <v/>
      </c>
      <c r="D20" s="6"/>
      <c r="E20" s="13" t="str">
        <f aca="false">IF(D20="","",IFERROR(INDEX('Reference Tables'!$B$3:$B$8,MATCH(D20,'Reference Tables'!$A$3:$A$8,0)),"Invalid package"))</f>
        <v/>
      </c>
      <c r="F20" s="12" t="str">
        <f aca="false">IF(D20="","",IFERROR(INDEX('Reference Tables'!$C$3:$C$8,MATCH(D20,'Reference Tables'!$A$3:$A$8,0)),"Invalid package"))</f>
        <v/>
      </c>
      <c r="G20" s="14" t="str">
        <f aca="false">IF(E20="","",'Reference Tables'!$C$15)</f>
        <v/>
      </c>
      <c r="H20" s="12" t="str">
        <f aca="false">IF(E20="","",IF(E20&gt;=150,"Yes","No"))</f>
        <v/>
      </c>
      <c r="I20" s="13" t="str">
        <f aca="false">IF(E20="","",IF(H20="Yes",E20*G20,0))</f>
        <v/>
      </c>
      <c r="J20" s="13" t="str">
        <f aca="false">IF(E20="","",E20-I20)</f>
        <v/>
      </c>
      <c r="K20" s="6"/>
      <c r="L20" s="6"/>
    </row>
    <row r="21" customFormat="false" ht="15" hidden="false" customHeight="false" outlineLevel="0" collapsed="false">
      <c r="A21" s="11"/>
      <c r="B21" s="6"/>
      <c r="C21" s="12" t="str">
        <f aca="false">IF(B21="","",IFERROR(INDEX('Gold Registry'!$B$4:$B$103,MATCH(B21,'Gold Registry'!$A$4:$A$103,0)),"Not found"))</f>
        <v/>
      </c>
      <c r="D21" s="6"/>
      <c r="E21" s="13" t="str">
        <f aca="false">IF(D21="","",IFERROR(INDEX('Reference Tables'!$B$3:$B$8,MATCH(D21,'Reference Tables'!$A$3:$A$8,0)),"Invalid package"))</f>
        <v/>
      </c>
      <c r="F21" s="12" t="str">
        <f aca="false">IF(D21="","",IFERROR(INDEX('Reference Tables'!$C$3:$C$8,MATCH(D21,'Reference Tables'!$A$3:$A$8,0)),"Invalid package"))</f>
        <v/>
      </c>
      <c r="G21" s="14" t="str">
        <f aca="false">IF(E21="","",'Reference Tables'!$C$15)</f>
        <v/>
      </c>
      <c r="H21" s="12" t="str">
        <f aca="false">IF(E21="","",IF(E21&gt;=150,"Yes","No"))</f>
        <v/>
      </c>
      <c r="I21" s="13" t="str">
        <f aca="false">IF(E21="","",IF(H21="Yes",E21*G21,0))</f>
        <v/>
      </c>
      <c r="J21" s="13" t="str">
        <f aca="false">IF(E21="","",E21-I21)</f>
        <v/>
      </c>
      <c r="K21" s="6"/>
      <c r="L21" s="6"/>
    </row>
    <row r="22" customFormat="false" ht="15" hidden="false" customHeight="false" outlineLevel="0" collapsed="false">
      <c r="A22" s="11"/>
      <c r="B22" s="6"/>
      <c r="C22" s="12" t="str">
        <f aca="false">IF(B22="","",IFERROR(INDEX('Gold Registry'!$B$4:$B$103,MATCH(B22,'Gold Registry'!$A$4:$A$103,0)),"Not found"))</f>
        <v/>
      </c>
      <c r="D22" s="6"/>
      <c r="E22" s="13" t="str">
        <f aca="false">IF(D22="","",IFERROR(INDEX('Reference Tables'!$B$3:$B$8,MATCH(D22,'Reference Tables'!$A$3:$A$8,0)),"Invalid package"))</f>
        <v/>
      </c>
      <c r="F22" s="12" t="str">
        <f aca="false">IF(D22="","",IFERROR(INDEX('Reference Tables'!$C$3:$C$8,MATCH(D22,'Reference Tables'!$A$3:$A$8,0)),"Invalid package"))</f>
        <v/>
      </c>
      <c r="G22" s="14" t="str">
        <f aca="false">IF(E22="","",'Reference Tables'!$C$15)</f>
        <v/>
      </c>
      <c r="H22" s="12" t="str">
        <f aca="false">IF(E22="","",IF(E22&gt;=150,"Yes","No"))</f>
        <v/>
      </c>
      <c r="I22" s="13" t="str">
        <f aca="false">IF(E22="","",IF(H22="Yes",E22*G22,0))</f>
        <v/>
      </c>
      <c r="J22" s="13" t="str">
        <f aca="false">IF(E22="","",E22-I22)</f>
        <v/>
      </c>
      <c r="K22" s="6"/>
      <c r="L22" s="6"/>
    </row>
    <row r="23" customFormat="false" ht="15" hidden="false" customHeight="false" outlineLevel="0" collapsed="false">
      <c r="A23" s="11"/>
      <c r="B23" s="6"/>
      <c r="C23" s="12" t="str">
        <f aca="false">IF(B23="","",IFERROR(INDEX('Gold Registry'!$B$4:$B$103,MATCH(B23,'Gold Registry'!$A$4:$A$103,0)),"Not found"))</f>
        <v/>
      </c>
      <c r="D23" s="6"/>
      <c r="E23" s="13" t="str">
        <f aca="false">IF(D23="","",IFERROR(INDEX('Reference Tables'!$B$3:$B$8,MATCH(D23,'Reference Tables'!$A$3:$A$8,0)),"Invalid package"))</f>
        <v/>
      </c>
      <c r="F23" s="12" t="str">
        <f aca="false">IF(D23="","",IFERROR(INDEX('Reference Tables'!$C$3:$C$8,MATCH(D23,'Reference Tables'!$A$3:$A$8,0)),"Invalid package"))</f>
        <v/>
      </c>
      <c r="G23" s="14" t="str">
        <f aca="false">IF(E23="","",'Reference Tables'!$C$15)</f>
        <v/>
      </c>
      <c r="H23" s="12" t="str">
        <f aca="false">IF(E23="","",IF(E23&gt;=150,"Yes","No"))</f>
        <v/>
      </c>
      <c r="I23" s="13" t="str">
        <f aca="false">IF(E23="","",IF(H23="Yes",E23*G23,0))</f>
        <v/>
      </c>
      <c r="J23" s="13" t="str">
        <f aca="false">IF(E23="","",E23-I23)</f>
        <v/>
      </c>
      <c r="K23" s="6"/>
      <c r="L23" s="6"/>
    </row>
    <row r="24" customFormat="false" ht="15" hidden="false" customHeight="false" outlineLevel="0" collapsed="false">
      <c r="A24" s="11"/>
      <c r="B24" s="6"/>
      <c r="C24" s="12" t="str">
        <f aca="false">IF(B24="","",IFERROR(INDEX('Gold Registry'!$B$4:$B$103,MATCH(B24,'Gold Registry'!$A$4:$A$103,0)),"Not found"))</f>
        <v/>
      </c>
      <c r="D24" s="6"/>
      <c r="E24" s="13" t="str">
        <f aca="false">IF(D24="","",IFERROR(INDEX('Reference Tables'!$B$3:$B$8,MATCH(D24,'Reference Tables'!$A$3:$A$8,0)),"Invalid package"))</f>
        <v/>
      </c>
      <c r="F24" s="12" t="str">
        <f aca="false">IF(D24="","",IFERROR(INDEX('Reference Tables'!$C$3:$C$8,MATCH(D24,'Reference Tables'!$A$3:$A$8,0)),"Invalid package"))</f>
        <v/>
      </c>
      <c r="G24" s="14" t="str">
        <f aca="false">IF(E24="","",'Reference Tables'!$C$15)</f>
        <v/>
      </c>
      <c r="H24" s="12" t="str">
        <f aca="false">IF(E24="","",IF(E24&gt;=150,"Yes","No"))</f>
        <v/>
      </c>
      <c r="I24" s="13" t="str">
        <f aca="false">IF(E24="","",IF(H24="Yes",E24*G24,0))</f>
        <v/>
      </c>
      <c r="J24" s="13" t="str">
        <f aca="false">IF(E24="","",E24-I24)</f>
        <v/>
      </c>
      <c r="K24" s="6"/>
      <c r="L24" s="6"/>
    </row>
    <row r="25" customFormat="false" ht="15" hidden="false" customHeight="false" outlineLevel="0" collapsed="false">
      <c r="A25" s="11"/>
      <c r="B25" s="6"/>
      <c r="C25" s="12" t="str">
        <f aca="false">IF(B25="","",IFERROR(INDEX('Gold Registry'!$B$4:$B$103,MATCH(B25,'Gold Registry'!$A$4:$A$103,0)),"Not found"))</f>
        <v/>
      </c>
      <c r="D25" s="6"/>
      <c r="E25" s="13" t="str">
        <f aca="false">IF(D25="","",IFERROR(INDEX('Reference Tables'!$B$3:$B$8,MATCH(D25,'Reference Tables'!$A$3:$A$8,0)),"Invalid package"))</f>
        <v/>
      </c>
      <c r="F25" s="12" t="str">
        <f aca="false">IF(D25="","",IFERROR(INDEX('Reference Tables'!$C$3:$C$8,MATCH(D25,'Reference Tables'!$A$3:$A$8,0)),"Invalid package"))</f>
        <v/>
      </c>
      <c r="G25" s="14" t="str">
        <f aca="false">IF(E25="","",'Reference Tables'!$C$15)</f>
        <v/>
      </c>
      <c r="H25" s="12" t="str">
        <f aca="false">IF(E25="","",IF(E25&gt;=150,"Yes","No"))</f>
        <v/>
      </c>
      <c r="I25" s="13" t="str">
        <f aca="false">IF(E25="","",IF(H25="Yes",E25*G25,0))</f>
        <v/>
      </c>
      <c r="J25" s="13" t="str">
        <f aca="false">IF(E25="","",E25-I25)</f>
        <v/>
      </c>
      <c r="K25" s="6"/>
      <c r="L25" s="6"/>
    </row>
    <row r="26" customFormat="false" ht="15" hidden="false" customHeight="false" outlineLevel="0" collapsed="false">
      <c r="A26" s="11"/>
      <c r="B26" s="6"/>
      <c r="C26" s="12" t="str">
        <f aca="false">IF(B26="","",IFERROR(INDEX('Gold Registry'!$B$4:$B$103,MATCH(B26,'Gold Registry'!$A$4:$A$103,0)),"Not found"))</f>
        <v/>
      </c>
      <c r="D26" s="6"/>
      <c r="E26" s="13" t="str">
        <f aca="false">IF(D26="","",IFERROR(INDEX('Reference Tables'!$B$3:$B$8,MATCH(D26,'Reference Tables'!$A$3:$A$8,0)),"Invalid package"))</f>
        <v/>
      </c>
      <c r="F26" s="12" t="str">
        <f aca="false">IF(D26="","",IFERROR(INDEX('Reference Tables'!$C$3:$C$8,MATCH(D26,'Reference Tables'!$A$3:$A$8,0)),"Invalid package"))</f>
        <v/>
      </c>
      <c r="G26" s="14" t="str">
        <f aca="false">IF(E26="","",'Reference Tables'!$C$15)</f>
        <v/>
      </c>
      <c r="H26" s="12" t="str">
        <f aca="false">IF(E26="","",IF(E26&gt;=150,"Yes","No"))</f>
        <v/>
      </c>
      <c r="I26" s="13" t="str">
        <f aca="false">IF(E26="","",IF(H26="Yes",E26*G26,0))</f>
        <v/>
      </c>
      <c r="J26" s="13" t="str">
        <f aca="false">IF(E26="","",E26-I26)</f>
        <v/>
      </c>
      <c r="K26" s="6"/>
      <c r="L26" s="6"/>
    </row>
    <row r="27" customFormat="false" ht="15" hidden="false" customHeight="false" outlineLevel="0" collapsed="false">
      <c r="A27" s="11"/>
      <c r="B27" s="6"/>
      <c r="C27" s="12" t="str">
        <f aca="false">IF(B27="","",IFERROR(INDEX('Gold Registry'!$B$4:$B$103,MATCH(B27,'Gold Registry'!$A$4:$A$103,0)),"Not found"))</f>
        <v/>
      </c>
      <c r="D27" s="6"/>
      <c r="E27" s="13" t="str">
        <f aca="false">IF(D27="","",IFERROR(INDEX('Reference Tables'!$B$3:$B$8,MATCH(D27,'Reference Tables'!$A$3:$A$8,0)),"Invalid package"))</f>
        <v/>
      </c>
      <c r="F27" s="12" t="str">
        <f aca="false">IF(D27="","",IFERROR(INDEX('Reference Tables'!$C$3:$C$8,MATCH(D27,'Reference Tables'!$A$3:$A$8,0)),"Invalid package"))</f>
        <v/>
      </c>
      <c r="G27" s="14" t="str">
        <f aca="false">IF(E27="","",'Reference Tables'!$C$15)</f>
        <v/>
      </c>
      <c r="H27" s="12" t="str">
        <f aca="false">IF(E27="","",IF(E27&gt;=150,"Yes","No"))</f>
        <v/>
      </c>
      <c r="I27" s="13" t="str">
        <f aca="false">IF(E27="","",IF(H27="Yes",E27*G27,0))</f>
        <v/>
      </c>
      <c r="J27" s="13" t="str">
        <f aca="false">IF(E27="","",E27-I27)</f>
        <v/>
      </c>
      <c r="K27" s="6"/>
      <c r="L27" s="6"/>
    </row>
    <row r="28" customFormat="false" ht="15" hidden="false" customHeight="false" outlineLevel="0" collapsed="false">
      <c r="A28" s="11"/>
      <c r="B28" s="6"/>
      <c r="C28" s="12" t="str">
        <f aca="false">IF(B28="","",IFERROR(INDEX('Gold Registry'!$B$4:$B$103,MATCH(B28,'Gold Registry'!$A$4:$A$103,0)),"Not found"))</f>
        <v/>
      </c>
      <c r="D28" s="6"/>
      <c r="E28" s="13" t="str">
        <f aca="false">IF(D28="","",IFERROR(INDEX('Reference Tables'!$B$3:$B$8,MATCH(D28,'Reference Tables'!$A$3:$A$8,0)),"Invalid package"))</f>
        <v/>
      </c>
      <c r="F28" s="12" t="str">
        <f aca="false">IF(D28="","",IFERROR(INDEX('Reference Tables'!$C$3:$C$8,MATCH(D28,'Reference Tables'!$A$3:$A$8,0)),"Invalid package"))</f>
        <v/>
      </c>
      <c r="G28" s="14" t="str">
        <f aca="false">IF(E28="","",'Reference Tables'!$C$15)</f>
        <v/>
      </c>
      <c r="H28" s="12" t="str">
        <f aca="false">IF(E28="","",IF(E28&gt;=150,"Yes","No"))</f>
        <v/>
      </c>
      <c r="I28" s="13" t="str">
        <f aca="false">IF(E28="","",IF(H28="Yes",E28*G28,0))</f>
        <v/>
      </c>
      <c r="J28" s="13" t="str">
        <f aca="false">IF(E28="","",E28-I28)</f>
        <v/>
      </c>
      <c r="K28" s="6"/>
      <c r="L28" s="6"/>
    </row>
    <row r="29" customFormat="false" ht="15" hidden="false" customHeight="false" outlineLevel="0" collapsed="false">
      <c r="A29" s="11"/>
      <c r="B29" s="6"/>
      <c r="C29" s="12" t="str">
        <f aca="false">IF(B29="","",IFERROR(INDEX('Gold Registry'!$B$4:$B$103,MATCH(B29,'Gold Registry'!$A$4:$A$103,0)),"Not found"))</f>
        <v/>
      </c>
      <c r="D29" s="6"/>
      <c r="E29" s="13" t="str">
        <f aca="false">IF(D29="","",IFERROR(INDEX('Reference Tables'!$B$3:$B$8,MATCH(D29,'Reference Tables'!$A$3:$A$8,0)),"Invalid package"))</f>
        <v/>
      </c>
      <c r="F29" s="12" t="str">
        <f aca="false">IF(D29="","",IFERROR(INDEX('Reference Tables'!$C$3:$C$8,MATCH(D29,'Reference Tables'!$A$3:$A$8,0)),"Invalid package"))</f>
        <v/>
      </c>
      <c r="G29" s="14" t="str">
        <f aca="false">IF(E29="","",'Reference Tables'!$C$15)</f>
        <v/>
      </c>
      <c r="H29" s="12" t="str">
        <f aca="false">IF(E29="","",IF(E29&gt;=150,"Yes","No"))</f>
        <v/>
      </c>
      <c r="I29" s="13" t="str">
        <f aca="false">IF(E29="","",IF(H29="Yes",E29*G29,0))</f>
        <v/>
      </c>
      <c r="J29" s="13" t="str">
        <f aca="false">IF(E29="","",E29-I29)</f>
        <v/>
      </c>
      <c r="K29" s="6"/>
      <c r="L29" s="6"/>
    </row>
    <row r="30" customFormat="false" ht="15" hidden="false" customHeight="false" outlineLevel="0" collapsed="false">
      <c r="A30" s="11"/>
      <c r="B30" s="6"/>
      <c r="C30" s="12" t="str">
        <f aca="false">IF(B30="","",IFERROR(INDEX('Gold Registry'!$B$4:$B$103,MATCH(B30,'Gold Registry'!$A$4:$A$103,0)),"Not found"))</f>
        <v/>
      </c>
      <c r="D30" s="6"/>
      <c r="E30" s="13" t="str">
        <f aca="false">IF(D30="","",IFERROR(INDEX('Reference Tables'!$B$3:$B$8,MATCH(D30,'Reference Tables'!$A$3:$A$8,0)),"Invalid package"))</f>
        <v/>
      </c>
      <c r="F30" s="12" t="str">
        <f aca="false">IF(D30="","",IFERROR(INDEX('Reference Tables'!$C$3:$C$8,MATCH(D30,'Reference Tables'!$A$3:$A$8,0)),"Invalid package"))</f>
        <v/>
      </c>
      <c r="G30" s="14" t="str">
        <f aca="false">IF(E30="","",'Reference Tables'!$C$15)</f>
        <v/>
      </c>
      <c r="H30" s="12" t="str">
        <f aca="false">IF(E30="","",IF(E30&gt;=150,"Yes","No"))</f>
        <v/>
      </c>
      <c r="I30" s="13" t="str">
        <f aca="false">IF(E30="","",IF(H30="Yes",E30*G30,0))</f>
        <v/>
      </c>
      <c r="J30" s="13" t="str">
        <f aca="false">IF(E30="","",E30-I30)</f>
        <v/>
      </c>
      <c r="K30" s="6"/>
      <c r="L30" s="6"/>
    </row>
    <row r="31" customFormat="false" ht="15" hidden="false" customHeight="false" outlineLevel="0" collapsed="false">
      <c r="A31" s="11"/>
      <c r="B31" s="6"/>
      <c r="C31" s="12" t="str">
        <f aca="false">IF(B31="","",IFERROR(INDEX('Gold Registry'!$B$4:$B$103,MATCH(B31,'Gold Registry'!$A$4:$A$103,0)),"Not found"))</f>
        <v/>
      </c>
      <c r="D31" s="6"/>
      <c r="E31" s="13" t="str">
        <f aca="false">IF(D31="","",IFERROR(INDEX('Reference Tables'!$B$3:$B$8,MATCH(D31,'Reference Tables'!$A$3:$A$8,0)),"Invalid package"))</f>
        <v/>
      </c>
      <c r="F31" s="12" t="str">
        <f aca="false">IF(D31="","",IFERROR(INDEX('Reference Tables'!$C$3:$C$8,MATCH(D31,'Reference Tables'!$A$3:$A$8,0)),"Invalid package"))</f>
        <v/>
      </c>
      <c r="G31" s="14" t="str">
        <f aca="false">IF(E31="","",'Reference Tables'!$C$15)</f>
        <v/>
      </c>
      <c r="H31" s="12" t="str">
        <f aca="false">IF(E31="","",IF(E31&gt;=150,"Yes","No"))</f>
        <v/>
      </c>
      <c r="I31" s="13" t="str">
        <f aca="false">IF(E31="","",IF(H31="Yes",E31*G31,0))</f>
        <v/>
      </c>
      <c r="J31" s="13" t="str">
        <f aca="false">IF(E31="","",E31-I31)</f>
        <v/>
      </c>
      <c r="K31" s="6"/>
      <c r="L31" s="6"/>
    </row>
    <row r="32" customFormat="false" ht="15" hidden="false" customHeight="false" outlineLevel="0" collapsed="false">
      <c r="A32" s="11"/>
      <c r="B32" s="6"/>
      <c r="C32" s="12" t="str">
        <f aca="false">IF(B32="","",IFERROR(INDEX('Gold Registry'!$B$4:$B$103,MATCH(B32,'Gold Registry'!$A$4:$A$103,0)),"Not found"))</f>
        <v/>
      </c>
      <c r="D32" s="6"/>
      <c r="E32" s="13" t="str">
        <f aca="false">IF(D32="","",IFERROR(INDEX('Reference Tables'!$B$3:$B$8,MATCH(D32,'Reference Tables'!$A$3:$A$8,0)),"Invalid package"))</f>
        <v/>
      </c>
      <c r="F32" s="12" t="str">
        <f aca="false">IF(D32="","",IFERROR(INDEX('Reference Tables'!$C$3:$C$8,MATCH(D32,'Reference Tables'!$A$3:$A$8,0)),"Invalid package"))</f>
        <v/>
      </c>
      <c r="G32" s="14" t="str">
        <f aca="false">IF(E32="","",'Reference Tables'!$C$15)</f>
        <v/>
      </c>
      <c r="H32" s="12" t="str">
        <f aca="false">IF(E32="","",IF(E32&gt;=150,"Yes","No"))</f>
        <v/>
      </c>
      <c r="I32" s="13" t="str">
        <f aca="false">IF(E32="","",IF(H32="Yes",E32*G32,0))</f>
        <v/>
      </c>
      <c r="J32" s="13" t="str">
        <f aca="false">IF(E32="","",E32-I32)</f>
        <v/>
      </c>
      <c r="K32" s="6"/>
      <c r="L32" s="6"/>
    </row>
    <row r="33" customFormat="false" ht="15" hidden="false" customHeight="false" outlineLevel="0" collapsed="false">
      <c r="A33" s="11"/>
      <c r="B33" s="6"/>
      <c r="C33" s="12" t="str">
        <f aca="false">IF(B33="","",IFERROR(INDEX('Gold Registry'!$B$4:$B$103,MATCH(B33,'Gold Registry'!$A$4:$A$103,0)),"Not found"))</f>
        <v/>
      </c>
      <c r="D33" s="6"/>
      <c r="E33" s="13" t="str">
        <f aca="false">IF(D33="","",IFERROR(INDEX('Reference Tables'!$B$3:$B$8,MATCH(D33,'Reference Tables'!$A$3:$A$8,0)),"Invalid package"))</f>
        <v/>
      </c>
      <c r="F33" s="12" t="str">
        <f aca="false">IF(D33="","",IFERROR(INDEX('Reference Tables'!$C$3:$C$8,MATCH(D33,'Reference Tables'!$A$3:$A$8,0)),"Invalid package"))</f>
        <v/>
      </c>
      <c r="G33" s="14" t="str">
        <f aca="false">IF(E33="","",'Reference Tables'!$C$15)</f>
        <v/>
      </c>
      <c r="H33" s="12" t="str">
        <f aca="false">IF(E33="","",IF(E33&gt;=150,"Yes","No"))</f>
        <v/>
      </c>
      <c r="I33" s="13" t="str">
        <f aca="false">IF(E33="","",IF(H33="Yes",E33*G33,0))</f>
        <v/>
      </c>
      <c r="J33" s="13" t="str">
        <f aca="false">IF(E33="","",E33-I33)</f>
        <v/>
      </c>
      <c r="K33" s="6"/>
      <c r="L33" s="6"/>
    </row>
    <row r="34" customFormat="false" ht="15" hidden="false" customHeight="false" outlineLevel="0" collapsed="false">
      <c r="A34" s="11"/>
      <c r="B34" s="6"/>
      <c r="C34" s="12" t="str">
        <f aca="false">IF(B34="","",IFERROR(INDEX('Gold Registry'!$B$4:$B$103,MATCH(B34,'Gold Registry'!$A$4:$A$103,0)),"Not found"))</f>
        <v/>
      </c>
      <c r="D34" s="6"/>
      <c r="E34" s="13" t="str">
        <f aca="false">IF(D34="","",IFERROR(INDEX('Reference Tables'!$B$3:$B$8,MATCH(D34,'Reference Tables'!$A$3:$A$8,0)),"Invalid package"))</f>
        <v/>
      </c>
      <c r="F34" s="12" t="str">
        <f aca="false">IF(D34="","",IFERROR(INDEX('Reference Tables'!$C$3:$C$8,MATCH(D34,'Reference Tables'!$A$3:$A$8,0)),"Invalid package"))</f>
        <v/>
      </c>
      <c r="G34" s="14" t="str">
        <f aca="false">IF(E34="","",'Reference Tables'!$C$15)</f>
        <v/>
      </c>
      <c r="H34" s="12" t="str">
        <f aca="false">IF(E34="","",IF(E34&gt;=150,"Yes","No"))</f>
        <v/>
      </c>
      <c r="I34" s="13" t="str">
        <f aca="false">IF(E34="","",IF(H34="Yes",E34*G34,0))</f>
        <v/>
      </c>
      <c r="J34" s="13" t="str">
        <f aca="false">IF(E34="","",E34-I34)</f>
        <v/>
      </c>
      <c r="K34" s="6"/>
      <c r="L34" s="6"/>
    </row>
    <row r="35" customFormat="false" ht="15" hidden="false" customHeight="false" outlineLevel="0" collapsed="false">
      <c r="A35" s="11"/>
      <c r="B35" s="6"/>
      <c r="C35" s="12" t="str">
        <f aca="false">IF(B35="","",IFERROR(INDEX('Gold Registry'!$B$4:$B$103,MATCH(B35,'Gold Registry'!$A$4:$A$103,0)),"Not found"))</f>
        <v/>
      </c>
      <c r="D35" s="6"/>
      <c r="E35" s="13" t="str">
        <f aca="false">IF(D35="","",IFERROR(INDEX('Reference Tables'!$B$3:$B$8,MATCH(D35,'Reference Tables'!$A$3:$A$8,0)),"Invalid package"))</f>
        <v/>
      </c>
      <c r="F35" s="12" t="str">
        <f aca="false">IF(D35="","",IFERROR(INDEX('Reference Tables'!$C$3:$C$8,MATCH(D35,'Reference Tables'!$A$3:$A$8,0)),"Invalid package"))</f>
        <v/>
      </c>
      <c r="G35" s="14" t="str">
        <f aca="false">IF(E35="","",'Reference Tables'!$C$15)</f>
        <v/>
      </c>
      <c r="H35" s="12" t="str">
        <f aca="false">IF(E35="","",IF(E35&gt;=150,"Yes","No"))</f>
        <v/>
      </c>
      <c r="I35" s="13" t="str">
        <f aca="false">IF(E35="","",IF(H35="Yes",E35*G35,0))</f>
        <v/>
      </c>
      <c r="J35" s="13" t="str">
        <f aca="false">IF(E35="","",E35-I35)</f>
        <v/>
      </c>
      <c r="K35" s="6"/>
      <c r="L35" s="6"/>
    </row>
    <row r="36" customFormat="false" ht="15" hidden="false" customHeight="false" outlineLevel="0" collapsed="false">
      <c r="A36" s="11"/>
      <c r="B36" s="6"/>
      <c r="C36" s="12" t="str">
        <f aca="false">IF(B36="","",IFERROR(INDEX('Gold Registry'!$B$4:$B$103,MATCH(B36,'Gold Registry'!$A$4:$A$103,0)),"Not found"))</f>
        <v/>
      </c>
      <c r="D36" s="6"/>
      <c r="E36" s="13" t="str">
        <f aca="false">IF(D36="","",IFERROR(INDEX('Reference Tables'!$B$3:$B$8,MATCH(D36,'Reference Tables'!$A$3:$A$8,0)),"Invalid package"))</f>
        <v/>
      </c>
      <c r="F36" s="12" t="str">
        <f aca="false">IF(D36="","",IFERROR(INDEX('Reference Tables'!$C$3:$C$8,MATCH(D36,'Reference Tables'!$A$3:$A$8,0)),"Invalid package"))</f>
        <v/>
      </c>
      <c r="G36" s="14" t="str">
        <f aca="false">IF(E36="","",'Reference Tables'!$C$15)</f>
        <v/>
      </c>
      <c r="H36" s="12" t="str">
        <f aca="false">IF(E36="","",IF(E36&gt;=150,"Yes","No"))</f>
        <v/>
      </c>
      <c r="I36" s="13" t="str">
        <f aca="false">IF(E36="","",IF(H36="Yes",E36*G36,0))</f>
        <v/>
      </c>
      <c r="J36" s="13" t="str">
        <f aca="false">IF(E36="","",E36-I36)</f>
        <v/>
      </c>
      <c r="K36" s="6"/>
      <c r="L36" s="6"/>
    </row>
    <row r="37" customFormat="false" ht="15" hidden="false" customHeight="false" outlineLevel="0" collapsed="false">
      <c r="A37" s="11"/>
      <c r="B37" s="6"/>
      <c r="C37" s="12" t="str">
        <f aca="false">IF(B37="","",IFERROR(INDEX('Gold Registry'!$B$4:$B$103,MATCH(B37,'Gold Registry'!$A$4:$A$103,0)),"Not found"))</f>
        <v/>
      </c>
      <c r="D37" s="6"/>
      <c r="E37" s="13" t="str">
        <f aca="false">IF(D37="","",IFERROR(INDEX('Reference Tables'!$B$3:$B$8,MATCH(D37,'Reference Tables'!$A$3:$A$8,0)),"Invalid package"))</f>
        <v/>
      </c>
      <c r="F37" s="12" t="str">
        <f aca="false">IF(D37="","",IFERROR(INDEX('Reference Tables'!$C$3:$C$8,MATCH(D37,'Reference Tables'!$A$3:$A$8,0)),"Invalid package"))</f>
        <v/>
      </c>
      <c r="G37" s="14" t="str">
        <f aca="false">IF(E37="","",'Reference Tables'!$C$15)</f>
        <v/>
      </c>
      <c r="H37" s="12" t="str">
        <f aca="false">IF(E37="","",IF(E37&gt;=150,"Yes","No"))</f>
        <v/>
      </c>
      <c r="I37" s="13" t="str">
        <f aca="false">IF(E37="","",IF(H37="Yes",E37*G37,0))</f>
        <v/>
      </c>
      <c r="J37" s="13" t="str">
        <f aca="false">IF(E37="","",E37-I37)</f>
        <v/>
      </c>
      <c r="K37" s="6"/>
      <c r="L37" s="6"/>
    </row>
    <row r="38" customFormat="false" ht="15" hidden="false" customHeight="false" outlineLevel="0" collapsed="false">
      <c r="A38" s="11"/>
      <c r="B38" s="6"/>
      <c r="C38" s="12" t="str">
        <f aca="false">IF(B38="","",IFERROR(INDEX('Gold Registry'!$B$4:$B$103,MATCH(B38,'Gold Registry'!$A$4:$A$103,0)),"Not found"))</f>
        <v/>
      </c>
      <c r="D38" s="6"/>
      <c r="E38" s="13" t="str">
        <f aca="false">IF(D38="","",IFERROR(INDEX('Reference Tables'!$B$3:$B$8,MATCH(D38,'Reference Tables'!$A$3:$A$8,0)),"Invalid package"))</f>
        <v/>
      </c>
      <c r="F38" s="12" t="str">
        <f aca="false">IF(D38="","",IFERROR(INDEX('Reference Tables'!$C$3:$C$8,MATCH(D38,'Reference Tables'!$A$3:$A$8,0)),"Invalid package"))</f>
        <v/>
      </c>
      <c r="G38" s="14" t="str">
        <f aca="false">IF(E38="","",'Reference Tables'!$C$15)</f>
        <v/>
      </c>
      <c r="H38" s="12" t="str">
        <f aca="false">IF(E38="","",IF(E38&gt;=150,"Yes","No"))</f>
        <v/>
      </c>
      <c r="I38" s="13" t="str">
        <f aca="false">IF(E38="","",IF(H38="Yes",E38*G38,0))</f>
        <v/>
      </c>
      <c r="J38" s="13" t="str">
        <f aca="false">IF(E38="","",E38-I38)</f>
        <v/>
      </c>
      <c r="K38" s="6"/>
      <c r="L38" s="6"/>
    </row>
    <row r="39" customFormat="false" ht="15" hidden="false" customHeight="false" outlineLevel="0" collapsed="false">
      <c r="A39" s="11"/>
      <c r="B39" s="6"/>
      <c r="C39" s="12" t="str">
        <f aca="false">IF(B39="","",IFERROR(INDEX('Gold Registry'!$B$4:$B$103,MATCH(B39,'Gold Registry'!$A$4:$A$103,0)),"Not found"))</f>
        <v/>
      </c>
      <c r="D39" s="6"/>
      <c r="E39" s="13" t="str">
        <f aca="false">IF(D39="","",IFERROR(INDEX('Reference Tables'!$B$3:$B$8,MATCH(D39,'Reference Tables'!$A$3:$A$8,0)),"Invalid package"))</f>
        <v/>
      </c>
      <c r="F39" s="12" t="str">
        <f aca="false">IF(D39="","",IFERROR(INDEX('Reference Tables'!$C$3:$C$8,MATCH(D39,'Reference Tables'!$A$3:$A$8,0)),"Invalid package"))</f>
        <v/>
      </c>
      <c r="G39" s="14" t="str">
        <f aca="false">IF(E39="","",'Reference Tables'!$C$15)</f>
        <v/>
      </c>
      <c r="H39" s="12" t="str">
        <f aca="false">IF(E39="","",IF(E39&gt;=150,"Yes","No"))</f>
        <v/>
      </c>
      <c r="I39" s="13" t="str">
        <f aca="false">IF(E39="","",IF(H39="Yes",E39*G39,0))</f>
        <v/>
      </c>
      <c r="J39" s="13" t="str">
        <f aca="false">IF(E39="","",E39-I39)</f>
        <v/>
      </c>
      <c r="K39" s="6"/>
      <c r="L39" s="6"/>
    </row>
    <row r="40" customFormat="false" ht="15" hidden="false" customHeight="false" outlineLevel="0" collapsed="false">
      <c r="A40" s="11"/>
      <c r="B40" s="6"/>
      <c r="C40" s="12" t="str">
        <f aca="false">IF(B40="","",IFERROR(INDEX('Gold Registry'!$B$4:$B$103,MATCH(B40,'Gold Registry'!$A$4:$A$103,0)),"Not found"))</f>
        <v/>
      </c>
      <c r="D40" s="6"/>
      <c r="E40" s="13" t="str">
        <f aca="false">IF(D40="","",IFERROR(INDEX('Reference Tables'!$B$3:$B$8,MATCH(D40,'Reference Tables'!$A$3:$A$8,0)),"Invalid package"))</f>
        <v/>
      </c>
      <c r="F40" s="12" t="str">
        <f aca="false">IF(D40="","",IFERROR(INDEX('Reference Tables'!$C$3:$C$8,MATCH(D40,'Reference Tables'!$A$3:$A$8,0)),"Invalid package"))</f>
        <v/>
      </c>
      <c r="G40" s="14" t="str">
        <f aca="false">IF(E40="","",'Reference Tables'!$C$15)</f>
        <v/>
      </c>
      <c r="H40" s="12" t="str">
        <f aca="false">IF(E40="","",IF(E40&gt;=150,"Yes","No"))</f>
        <v/>
      </c>
      <c r="I40" s="13" t="str">
        <f aca="false">IF(E40="","",IF(H40="Yes",E40*G40,0))</f>
        <v/>
      </c>
      <c r="J40" s="13" t="str">
        <f aca="false">IF(E40="","",E40-I40)</f>
        <v/>
      </c>
      <c r="K40" s="6"/>
      <c r="L40" s="6"/>
    </row>
    <row r="41" customFormat="false" ht="15" hidden="false" customHeight="false" outlineLevel="0" collapsed="false">
      <c r="A41" s="11"/>
      <c r="B41" s="6"/>
      <c r="C41" s="12" t="str">
        <f aca="false">IF(B41="","",IFERROR(INDEX('Gold Registry'!$B$4:$B$103,MATCH(B41,'Gold Registry'!$A$4:$A$103,0)),"Not found"))</f>
        <v/>
      </c>
      <c r="D41" s="6"/>
      <c r="E41" s="13" t="str">
        <f aca="false">IF(D41="","",IFERROR(INDEX('Reference Tables'!$B$3:$B$8,MATCH(D41,'Reference Tables'!$A$3:$A$8,0)),"Invalid package"))</f>
        <v/>
      </c>
      <c r="F41" s="12" t="str">
        <f aca="false">IF(D41="","",IFERROR(INDEX('Reference Tables'!$C$3:$C$8,MATCH(D41,'Reference Tables'!$A$3:$A$8,0)),"Invalid package"))</f>
        <v/>
      </c>
      <c r="G41" s="14" t="str">
        <f aca="false">IF(E41="","",'Reference Tables'!$C$15)</f>
        <v/>
      </c>
      <c r="H41" s="12" t="str">
        <f aca="false">IF(E41="","",IF(E41&gt;=150,"Yes","No"))</f>
        <v/>
      </c>
      <c r="I41" s="13" t="str">
        <f aca="false">IF(E41="","",IF(H41="Yes",E41*G41,0))</f>
        <v/>
      </c>
      <c r="J41" s="13" t="str">
        <f aca="false">IF(E41="","",E41-I41)</f>
        <v/>
      </c>
      <c r="K41" s="6"/>
      <c r="L41" s="6"/>
    </row>
    <row r="42" customFormat="false" ht="15" hidden="false" customHeight="false" outlineLevel="0" collapsed="false">
      <c r="A42" s="11"/>
      <c r="B42" s="6"/>
      <c r="C42" s="12" t="str">
        <f aca="false">IF(B42="","",IFERROR(INDEX('Gold Registry'!$B$4:$B$103,MATCH(B42,'Gold Registry'!$A$4:$A$103,0)),"Not found"))</f>
        <v/>
      </c>
      <c r="D42" s="6"/>
      <c r="E42" s="13" t="str">
        <f aca="false">IF(D42="","",IFERROR(INDEX('Reference Tables'!$B$3:$B$8,MATCH(D42,'Reference Tables'!$A$3:$A$8,0)),"Invalid package"))</f>
        <v/>
      </c>
      <c r="F42" s="12" t="str">
        <f aca="false">IF(D42="","",IFERROR(INDEX('Reference Tables'!$C$3:$C$8,MATCH(D42,'Reference Tables'!$A$3:$A$8,0)),"Invalid package"))</f>
        <v/>
      </c>
      <c r="G42" s="14" t="str">
        <f aca="false">IF(E42="","",'Reference Tables'!$C$15)</f>
        <v/>
      </c>
      <c r="H42" s="12" t="str">
        <f aca="false">IF(E42="","",IF(E42&gt;=150,"Yes","No"))</f>
        <v/>
      </c>
      <c r="I42" s="13" t="str">
        <f aca="false">IF(E42="","",IF(H42="Yes",E42*G42,0))</f>
        <v/>
      </c>
      <c r="J42" s="13" t="str">
        <f aca="false">IF(E42="","",E42-I42)</f>
        <v/>
      </c>
      <c r="K42" s="6"/>
      <c r="L42" s="6"/>
    </row>
    <row r="43" customFormat="false" ht="15" hidden="false" customHeight="false" outlineLevel="0" collapsed="false">
      <c r="A43" s="11"/>
      <c r="B43" s="6"/>
      <c r="C43" s="12" t="str">
        <f aca="false">IF(B43="","",IFERROR(INDEX('Gold Registry'!$B$4:$B$103,MATCH(B43,'Gold Registry'!$A$4:$A$103,0)),"Not found"))</f>
        <v/>
      </c>
      <c r="D43" s="6"/>
      <c r="E43" s="13" t="str">
        <f aca="false">IF(D43="","",IFERROR(INDEX('Reference Tables'!$B$3:$B$8,MATCH(D43,'Reference Tables'!$A$3:$A$8,0)),"Invalid package"))</f>
        <v/>
      </c>
      <c r="F43" s="12" t="str">
        <f aca="false">IF(D43="","",IFERROR(INDEX('Reference Tables'!$C$3:$C$8,MATCH(D43,'Reference Tables'!$A$3:$A$8,0)),"Invalid package"))</f>
        <v/>
      </c>
      <c r="G43" s="14" t="str">
        <f aca="false">IF(E43="","",'Reference Tables'!$C$15)</f>
        <v/>
      </c>
      <c r="H43" s="12" t="str">
        <f aca="false">IF(E43="","",IF(E43&gt;=150,"Yes","No"))</f>
        <v/>
      </c>
      <c r="I43" s="13" t="str">
        <f aca="false">IF(E43="","",IF(H43="Yes",E43*G43,0))</f>
        <v/>
      </c>
      <c r="J43" s="13" t="str">
        <f aca="false">IF(E43="","",E43-I43)</f>
        <v/>
      </c>
      <c r="K43" s="6"/>
      <c r="L43" s="6"/>
    </row>
    <row r="44" customFormat="false" ht="15" hidden="false" customHeight="false" outlineLevel="0" collapsed="false">
      <c r="A44" s="11"/>
      <c r="B44" s="6"/>
      <c r="C44" s="12" t="str">
        <f aca="false">IF(B44="","",IFERROR(INDEX('Gold Registry'!$B$4:$B$103,MATCH(B44,'Gold Registry'!$A$4:$A$103,0)),"Not found"))</f>
        <v/>
      </c>
      <c r="D44" s="6"/>
      <c r="E44" s="13" t="str">
        <f aca="false">IF(D44="","",IFERROR(INDEX('Reference Tables'!$B$3:$B$8,MATCH(D44,'Reference Tables'!$A$3:$A$8,0)),"Invalid package"))</f>
        <v/>
      </c>
      <c r="F44" s="12" t="str">
        <f aca="false">IF(D44="","",IFERROR(INDEX('Reference Tables'!$C$3:$C$8,MATCH(D44,'Reference Tables'!$A$3:$A$8,0)),"Invalid package"))</f>
        <v/>
      </c>
      <c r="G44" s="14" t="str">
        <f aca="false">IF(E44="","",'Reference Tables'!$C$15)</f>
        <v/>
      </c>
      <c r="H44" s="12" t="str">
        <f aca="false">IF(E44="","",IF(E44&gt;=150,"Yes","No"))</f>
        <v/>
      </c>
      <c r="I44" s="13" t="str">
        <f aca="false">IF(E44="","",IF(H44="Yes",E44*G44,0))</f>
        <v/>
      </c>
      <c r="J44" s="13" t="str">
        <f aca="false">IF(E44="","",E44-I44)</f>
        <v/>
      </c>
      <c r="K44" s="6"/>
      <c r="L44" s="6"/>
    </row>
    <row r="45" customFormat="false" ht="15" hidden="false" customHeight="false" outlineLevel="0" collapsed="false">
      <c r="A45" s="11"/>
      <c r="B45" s="6"/>
      <c r="C45" s="12" t="str">
        <f aca="false">IF(B45="","",IFERROR(INDEX('Gold Registry'!$B$4:$B$103,MATCH(B45,'Gold Registry'!$A$4:$A$103,0)),"Not found"))</f>
        <v/>
      </c>
      <c r="D45" s="6"/>
      <c r="E45" s="13" t="str">
        <f aca="false">IF(D45="","",IFERROR(INDEX('Reference Tables'!$B$3:$B$8,MATCH(D45,'Reference Tables'!$A$3:$A$8,0)),"Invalid package"))</f>
        <v/>
      </c>
      <c r="F45" s="12" t="str">
        <f aca="false">IF(D45="","",IFERROR(INDEX('Reference Tables'!$C$3:$C$8,MATCH(D45,'Reference Tables'!$A$3:$A$8,0)),"Invalid package"))</f>
        <v/>
      </c>
      <c r="G45" s="14" t="str">
        <f aca="false">IF(E45="","",'Reference Tables'!$C$15)</f>
        <v/>
      </c>
      <c r="H45" s="12" t="str">
        <f aca="false">IF(E45="","",IF(E45&gt;=150,"Yes","No"))</f>
        <v/>
      </c>
      <c r="I45" s="13" t="str">
        <f aca="false">IF(E45="","",IF(H45="Yes",E45*G45,0))</f>
        <v/>
      </c>
      <c r="J45" s="13" t="str">
        <f aca="false">IF(E45="","",E45-I45)</f>
        <v/>
      </c>
      <c r="K45" s="6"/>
      <c r="L45" s="6"/>
    </row>
    <row r="46" customFormat="false" ht="15" hidden="false" customHeight="false" outlineLevel="0" collapsed="false">
      <c r="A46" s="11"/>
      <c r="B46" s="6"/>
      <c r="C46" s="12" t="str">
        <f aca="false">IF(B46="","",IFERROR(INDEX('Gold Registry'!$B$4:$B$103,MATCH(B46,'Gold Registry'!$A$4:$A$103,0)),"Not found"))</f>
        <v/>
      </c>
      <c r="D46" s="6"/>
      <c r="E46" s="13" t="str">
        <f aca="false">IF(D46="","",IFERROR(INDEX('Reference Tables'!$B$3:$B$8,MATCH(D46,'Reference Tables'!$A$3:$A$8,0)),"Invalid package"))</f>
        <v/>
      </c>
      <c r="F46" s="12" t="str">
        <f aca="false">IF(D46="","",IFERROR(INDEX('Reference Tables'!$C$3:$C$8,MATCH(D46,'Reference Tables'!$A$3:$A$8,0)),"Invalid package"))</f>
        <v/>
      </c>
      <c r="G46" s="14" t="str">
        <f aca="false">IF(E46="","",'Reference Tables'!$C$15)</f>
        <v/>
      </c>
      <c r="H46" s="12" t="str">
        <f aca="false">IF(E46="","",IF(E46&gt;=150,"Yes","No"))</f>
        <v/>
      </c>
      <c r="I46" s="13" t="str">
        <f aca="false">IF(E46="","",IF(H46="Yes",E46*G46,0))</f>
        <v/>
      </c>
      <c r="J46" s="13" t="str">
        <f aca="false">IF(E46="","",E46-I46)</f>
        <v/>
      </c>
      <c r="K46" s="6"/>
      <c r="L46" s="6"/>
    </row>
    <row r="47" customFormat="false" ht="15" hidden="false" customHeight="false" outlineLevel="0" collapsed="false">
      <c r="A47" s="11"/>
      <c r="B47" s="6"/>
      <c r="C47" s="12" t="str">
        <f aca="false">IF(B47="","",IFERROR(INDEX('Gold Registry'!$B$4:$B$103,MATCH(B47,'Gold Registry'!$A$4:$A$103,0)),"Not found"))</f>
        <v/>
      </c>
      <c r="D47" s="6"/>
      <c r="E47" s="13" t="str">
        <f aca="false">IF(D47="","",IFERROR(INDEX('Reference Tables'!$B$3:$B$8,MATCH(D47,'Reference Tables'!$A$3:$A$8,0)),"Invalid package"))</f>
        <v/>
      </c>
      <c r="F47" s="12" t="str">
        <f aca="false">IF(D47="","",IFERROR(INDEX('Reference Tables'!$C$3:$C$8,MATCH(D47,'Reference Tables'!$A$3:$A$8,0)),"Invalid package"))</f>
        <v/>
      </c>
      <c r="G47" s="14" t="str">
        <f aca="false">IF(E47="","",'Reference Tables'!$C$15)</f>
        <v/>
      </c>
      <c r="H47" s="12" t="str">
        <f aca="false">IF(E47="","",IF(E47&gt;=150,"Yes","No"))</f>
        <v/>
      </c>
      <c r="I47" s="13" t="str">
        <f aca="false">IF(E47="","",IF(H47="Yes",E47*G47,0))</f>
        <v/>
      </c>
      <c r="J47" s="13" t="str">
        <f aca="false">IF(E47="","",E47-I47)</f>
        <v/>
      </c>
      <c r="K47" s="6"/>
      <c r="L47" s="6"/>
    </row>
    <row r="48" customFormat="false" ht="15" hidden="false" customHeight="false" outlineLevel="0" collapsed="false">
      <c r="A48" s="11"/>
      <c r="B48" s="6"/>
      <c r="C48" s="12" t="str">
        <f aca="false">IF(B48="","",IFERROR(INDEX('Gold Registry'!$B$4:$B$103,MATCH(B48,'Gold Registry'!$A$4:$A$103,0)),"Not found"))</f>
        <v/>
      </c>
      <c r="D48" s="6"/>
      <c r="E48" s="13" t="str">
        <f aca="false">IF(D48="","",IFERROR(INDEX('Reference Tables'!$B$3:$B$8,MATCH(D48,'Reference Tables'!$A$3:$A$8,0)),"Invalid package"))</f>
        <v/>
      </c>
      <c r="F48" s="12" t="str">
        <f aca="false">IF(D48="","",IFERROR(INDEX('Reference Tables'!$C$3:$C$8,MATCH(D48,'Reference Tables'!$A$3:$A$8,0)),"Invalid package"))</f>
        <v/>
      </c>
      <c r="G48" s="14" t="str">
        <f aca="false">IF(E48="","",'Reference Tables'!$C$15)</f>
        <v/>
      </c>
      <c r="H48" s="12" t="str">
        <f aca="false">IF(E48="","",IF(E48&gt;=150,"Yes","No"))</f>
        <v/>
      </c>
      <c r="I48" s="13" t="str">
        <f aca="false">IF(E48="","",IF(H48="Yes",E48*G48,0))</f>
        <v/>
      </c>
      <c r="J48" s="13" t="str">
        <f aca="false">IF(E48="","",E48-I48)</f>
        <v/>
      </c>
      <c r="K48" s="6"/>
      <c r="L48" s="6"/>
    </row>
    <row r="49" customFormat="false" ht="15" hidden="false" customHeight="false" outlineLevel="0" collapsed="false">
      <c r="A49" s="11"/>
      <c r="B49" s="6"/>
      <c r="C49" s="12" t="str">
        <f aca="false">IF(B49="","",IFERROR(INDEX('Gold Registry'!$B$4:$B$103,MATCH(B49,'Gold Registry'!$A$4:$A$103,0)),"Not found"))</f>
        <v/>
      </c>
      <c r="D49" s="6"/>
      <c r="E49" s="13" t="str">
        <f aca="false">IF(D49="","",IFERROR(INDEX('Reference Tables'!$B$3:$B$8,MATCH(D49,'Reference Tables'!$A$3:$A$8,0)),"Invalid package"))</f>
        <v/>
      </c>
      <c r="F49" s="12" t="str">
        <f aca="false">IF(D49="","",IFERROR(INDEX('Reference Tables'!$C$3:$C$8,MATCH(D49,'Reference Tables'!$A$3:$A$8,0)),"Invalid package"))</f>
        <v/>
      </c>
      <c r="G49" s="14" t="str">
        <f aca="false">IF(E49="","",'Reference Tables'!$C$15)</f>
        <v/>
      </c>
      <c r="H49" s="12" t="str">
        <f aca="false">IF(E49="","",IF(E49&gt;=150,"Yes","No"))</f>
        <v/>
      </c>
      <c r="I49" s="13" t="str">
        <f aca="false">IF(E49="","",IF(H49="Yes",E49*G49,0))</f>
        <v/>
      </c>
      <c r="J49" s="13" t="str">
        <f aca="false">IF(E49="","",E49-I49)</f>
        <v/>
      </c>
      <c r="K49" s="6"/>
      <c r="L49" s="6"/>
    </row>
    <row r="50" customFormat="false" ht="15" hidden="false" customHeight="false" outlineLevel="0" collapsed="false">
      <c r="A50" s="11"/>
      <c r="B50" s="6"/>
      <c r="C50" s="12" t="str">
        <f aca="false">IF(B50="","",IFERROR(INDEX('Gold Registry'!$B$4:$B$103,MATCH(B50,'Gold Registry'!$A$4:$A$103,0)),"Not found"))</f>
        <v/>
      </c>
      <c r="D50" s="6"/>
      <c r="E50" s="13" t="str">
        <f aca="false">IF(D50="","",IFERROR(INDEX('Reference Tables'!$B$3:$B$8,MATCH(D50,'Reference Tables'!$A$3:$A$8,0)),"Invalid package"))</f>
        <v/>
      </c>
      <c r="F50" s="12" t="str">
        <f aca="false">IF(D50="","",IFERROR(INDEX('Reference Tables'!$C$3:$C$8,MATCH(D50,'Reference Tables'!$A$3:$A$8,0)),"Invalid package"))</f>
        <v/>
      </c>
      <c r="G50" s="14" t="str">
        <f aca="false">IF(E50="","",'Reference Tables'!$C$15)</f>
        <v/>
      </c>
      <c r="H50" s="12" t="str">
        <f aca="false">IF(E50="","",IF(E50&gt;=150,"Yes","No"))</f>
        <v/>
      </c>
      <c r="I50" s="13" t="str">
        <f aca="false">IF(E50="","",IF(H50="Yes",E50*G50,0))</f>
        <v/>
      </c>
      <c r="J50" s="13" t="str">
        <f aca="false">IF(E50="","",E50-I50)</f>
        <v/>
      </c>
      <c r="K50" s="6"/>
      <c r="L50" s="6"/>
    </row>
    <row r="51" customFormat="false" ht="15" hidden="false" customHeight="false" outlineLevel="0" collapsed="false">
      <c r="A51" s="11"/>
      <c r="B51" s="6"/>
      <c r="C51" s="12" t="str">
        <f aca="false">IF(B51="","",IFERROR(INDEX('Gold Registry'!$B$4:$B$103,MATCH(B51,'Gold Registry'!$A$4:$A$103,0)),"Not found"))</f>
        <v/>
      </c>
      <c r="D51" s="6"/>
      <c r="E51" s="13" t="str">
        <f aca="false">IF(D51="","",IFERROR(INDEX('Reference Tables'!$B$3:$B$8,MATCH(D51,'Reference Tables'!$A$3:$A$8,0)),"Invalid package"))</f>
        <v/>
      </c>
      <c r="F51" s="12" t="str">
        <f aca="false">IF(D51="","",IFERROR(INDEX('Reference Tables'!$C$3:$C$8,MATCH(D51,'Reference Tables'!$A$3:$A$8,0)),"Invalid package"))</f>
        <v/>
      </c>
      <c r="G51" s="14" t="str">
        <f aca="false">IF(E51="","",'Reference Tables'!$C$15)</f>
        <v/>
      </c>
      <c r="H51" s="12" t="str">
        <f aca="false">IF(E51="","",IF(E51&gt;=150,"Yes","No"))</f>
        <v/>
      </c>
      <c r="I51" s="13" t="str">
        <f aca="false">IF(E51="","",IF(H51="Yes",E51*G51,0))</f>
        <v/>
      </c>
      <c r="J51" s="13" t="str">
        <f aca="false">IF(E51="","",E51-I51)</f>
        <v/>
      </c>
      <c r="K51" s="6"/>
      <c r="L51" s="6"/>
    </row>
    <row r="52" customFormat="false" ht="15" hidden="false" customHeight="false" outlineLevel="0" collapsed="false">
      <c r="A52" s="11"/>
      <c r="B52" s="6"/>
      <c r="C52" s="12" t="str">
        <f aca="false">IF(B52="","",IFERROR(INDEX('Gold Registry'!$B$4:$B$103,MATCH(B52,'Gold Registry'!$A$4:$A$103,0)),"Not found"))</f>
        <v/>
      </c>
      <c r="D52" s="6"/>
      <c r="E52" s="13" t="str">
        <f aca="false">IF(D52="","",IFERROR(INDEX('Reference Tables'!$B$3:$B$8,MATCH(D52,'Reference Tables'!$A$3:$A$8,0)),"Invalid package"))</f>
        <v/>
      </c>
      <c r="F52" s="12" t="str">
        <f aca="false">IF(D52="","",IFERROR(INDEX('Reference Tables'!$C$3:$C$8,MATCH(D52,'Reference Tables'!$A$3:$A$8,0)),"Invalid package"))</f>
        <v/>
      </c>
      <c r="G52" s="14" t="str">
        <f aca="false">IF(E52="","",'Reference Tables'!$C$15)</f>
        <v/>
      </c>
      <c r="H52" s="12" t="str">
        <f aca="false">IF(E52="","",IF(E52&gt;=150,"Yes","No"))</f>
        <v/>
      </c>
      <c r="I52" s="13" t="str">
        <f aca="false">IF(E52="","",IF(H52="Yes",E52*G52,0))</f>
        <v/>
      </c>
      <c r="J52" s="13" t="str">
        <f aca="false">IF(E52="","",E52-I52)</f>
        <v/>
      </c>
      <c r="K52" s="6"/>
      <c r="L52" s="6"/>
    </row>
    <row r="53" customFormat="false" ht="15" hidden="false" customHeight="false" outlineLevel="0" collapsed="false">
      <c r="A53" s="11"/>
      <c r="B53" s="6"/>
      <c r="C53" s="12" t="str">
        <f aca="false">IF(B53="","",IFERROR(INDEX('Gold Registry'!$B$4:$B$103,MATCH(B53,'Gold Registry'!$A$4:$A$103,0)),"Not found"))</f>
        <v/>
      </c>
      <c r="D53" s="6"/>
      <c r="E53" s="13" t="str">
        <f aca="false">IF(D53="","",IFERROR(INDEX('Reference Tables'!$B$3:$B$8,MATCH(D53,'Reference Tables'!$A$3:$A$8,0)),"Invalid package"))</f>
        <v/>
      </c>
      <c r="F53" s="12" t="str">
        <f aca="false">IF(D53="","",IFERROR(INDEX('Reference Tables'!$C$3:$C$8,MATCH(D53,'Reference Tables'!$A$3:$A$8,0)),"Invalid package"))</f>
        <v/>
      </c>
      <c r="G53" s="14" t="str">
        <f aca="false">IF(E53="","",'Reference Tables'!$C$15)</f>
        <v/>
      </c>
      <c r="H53" s="12" t="str">
        <f aca="false">IF(E53="","",IF(E53&gt;=150,"Yes","No"))</f>
        <v/>
      </c>
      <c r="I53" s="13" t="str">
        <f aca="false">IF(E53="","",IF(H53="Yes",E53*G53,0))</f>
        <v/>
      </c>
      <c r="J53" s="13" t="str">
        <f aca="false">IF(E53="","",E53-I53)</f>
        <v/>
      </c>
      <c r="K53" s="6"/>
      <c r="L53" s="6"/>
    </row>
    <row r="54" customFormat="false" ht="15" hidden="false" customHeight="false" outlineLevel="0" collapsed="false">
      <c r="A54" s="11"/>
      <c r="B54" s="6"/>
      <c r="C54" s="12" t="str">
        <f aca="false">IF(B54="","",IFERROR(INDEX('Gold Registry'!$B$4:$B$103,MATCH(B54,'Gold Registry'!$A$4:$A$103,0)),"Not found"))</f>
        <v/>
      </c>
      <c r="D54" s="6"/>
      <c r="E54" s="13" t="str">
        <f aca="false">IF(D54="","",IFERROR(INDEX('Reference Tables'!$B$3:$B$8,MATCH(D54,'Reference Tables'!$A$3:$A$8,0)),"Invalid package"))</f>
        <v/>
      </c>
      <c r="F54" s="12" t="str">
        <f aca="false">IF(D54="","",IFERROR(INDEX('Reference Tables'!$C$3:$C$8,MATCH(D54,'Reference Tables'!$A$3:$A$8,0)),"Invalid package"))</f>
        <v/>
      </c>
      <c r="G54" s="14" t="str">
        <f aca="false">IF(E54="","",'Reference Tables'!$C$15)</f>
        <v/>
      </c>
      <c r="H54" s="12" t="str">
        <f aca="false">IF(E54="","",IF(E54&gt;=150,"Yes","No"))</f>
        <v/>
      </c>
      <c r="I54" s="13" t="str">
        <f aca="false">IF(E54="","",IF(H54="Yes",E54*G54,0))</f>
        <v/>
      </c>
      <c r="J54" s="13" t="str">
        <f aca="false">IF(E54="","",E54-I54)</f>
        <v/>
      </c>
      <c r="K54" s="6"/>
      <c r="L54" s="6"/>
    </row>
    <row r="55" customFormat="false" ht="15" hidden="false" customHeight="false" outlineLevel="0" collapsed="false">
      <c r="A55" s="11"/>
      <c r="B55" s="6"/>
      <c r="C55" s="12" t="str">
        <f aca="false">IF(B55="","",IFERROR(INDEX('Gold Registry'!$B$4:$B$103,MATCH(B55,'Gold Registry'!$A$4:$A$103,0)),"Not found"))</f>
        <v/>
      </c>
      <c r="D55" s="6"/>
      <c r="E55" s="13" t="str">
        <f aca="false">IF(D55="","",IFERROR(INDEX('Reference Tables'!$B$3:$B$8,MATCH(D55,'Reference Tables'!$A$3:$A$8,0)),"Invalid package"))</f>
        <v/>
      </c>
      <c r="F55" s="12" t="str">
        <f aca="false">IF(D55="","",IFERROR(INDEX('Reference Tables'!$C$3:$C$8,MATCH(D55,'Reference Tables'!$A$3:$A$8,0)),"Invalid package"))</f>
        <v/>
      </c>
      <c r="G55" s="14" t="str">
        <f aca="false">IF(E55="","",'Reference Tables'!$C$15)</f>
        <v/>
      </c>
      <c r="H55" s="12" t="str">
        <f aca="false">IF(E55="","",IF(E55&gt;=150,"Yes","No"))</f>
        <v/>
      </c>
      <c r="I55" s="13" t="str">
        <f aca="false">IF(E55="","",IF(H55="Yes",E55*G55,0))</f>
        <v/>
      </c>
      <c r="J55" s="13" t="str">
        <f aca="false">IF(E55="","",E55-I55)</f>
        <v/>
      </c>
      <c r="K55" s="6"/>
      <c r="L55" s="6"/>
    </row>
    <row r="56" customFormat="false" ht="15" hidden="false" customHeight="false" outlineLevel="0" collapsed="false">
      <c r="A56" s="11"/>
      <c r="B56" s="6"/>
      <c r="C56" s="12" t="str">
        <f aca="false">IF(B56="","",IFERROR(INDEX('Gold Registry'!$B$4:$B$103,MATCH(B56,'Gold Registry'!$A$4:$A$103,0)),"Not found"))</f>
        <v/>
      </c>
      <c r="D56" s="6"/>
      <c r="E56" s="13" t="str">
        <f aca="false">IF(D56="","",IFERROR(INDEX('Reference Tables'!$B$3:$B$8,MATCH(D56,'Reference Tables'!$A$3:$A$8,0)),"Invalid package"))</f>
        <v/>
      </c>
      <c r="F56" s="12" t="str">
        <f aca="false">IF(D56="","",IFERROR(INDEX('Reference Tables'!$C$3:$C$8,MATCH(D56,'Reference Tables'!$A$3:$A$8,0)),"Invalid package"))</f>
        <v/>
      </c>
      <c r="G56" s="14" t="str">
        <f aca="false">IF(E56="","",'Reference Tables'!$C$15)</f>
        <v/>
      </c>
      <c r="H56" s="12" t="str">
        <f aca="false">IF(E56="","",IF(E56&gt;=150,"Yes","No"))</f>
        <v/>
      </c>
      <c r="I56" s="13" t="str">
        <f aca="false">IF(E56="","",IF(H56="Yes",E56*G56,0))</f>
        <v/>
      </c>
      <c r="J56" s="13" t="str">
        <f aca="false">IF(E56="","",E56-I56)</f>
        <v/>
      </c>
      <c r="K56" s="6"/>
      <c r="L56" s="6"/>
    </row>
    <row r="57" customFormat="false" ht="15" hidden="false" customHeight="false" outlineLevel="0" collapsed="false">
      <c r="A57" s="11"/>
      <c r="B57" s="6"/>
      <c r="C57" s="12" t="str">
        <f aca="false">IF(B57="","",IFERROR(INDEX('Gold Registry'!$B$4:$B$103,MATCH(B57,'Gold Registry'!$A$4:$A$103,0)),"Not found"))</f>
        <v/>
      </c>
      <c r="D57" s="6"/>
      <c r="E57" s="13" t="str">
        <f aca="false">IF(D57="","",IFERROR(INDEX('Reference Tables'!$B$3:$B$8,MATCH(D57,'Reference Tables'!$A$3:$A$8,0)),"Invalid package"))</f>
        <v/>
      </c>
      <c r="F57" s="12" t="str">
        <f aca="false">IF(D57="","",IFERROR(INDEX('Reference Tables'!$C$3:$C$8,MATCH(D57,'Reference Tables'!$A$3:$A$8,0)),"Invalid package"))</f>
        <v/>
      </c>
      <c r="G57" s="14" t="str">
        <f aca="false">IF(E57="","",'Reference Tables'!$C$15)</f>
        <v/>
      </c>
      <c r="H57" s="12" t="str">
        <f aca="false">IF(E57="","",IF(E57&gt;=150,"Yes","No"))</f>
        <v/>
      </c>
      <c r="I57" s="13" t="str">
        <f aca="false">IF(E57="","",IF(H57="Yes",E57*G57,0))</f>
        <v/>
      </c>
      <c r="J57" s="13" t="str">
        <f aca="false">IF(E57="","",E57-I57)</f>
        <v/>
      </c>
      <c r="K57" s="6"/>
      <c r="L57" s="6"/>
    </row>
    <row r="58" customFormat="false" ht="15" hidden="false" customHeight="false" outlineLevel="0" collapsed="false">
      <c r="A58" s="11"/>
      <c r="B58" s="6"/>
      <c r="C58" s="12" t="str">
        <f aca="false">IF(B58="","",IFERROR(INDEX('Gold Registry'!$B$4:$B$103,MATCH(B58,'Gold Registry'!$A$4:$A$103,0)),"Not found"))</f>
        <v/>
      </c>
      <c r="D58" s="6"/>
      <c r="E58" s="13" t="str">
        <f aca="false">IF(D58="","",IFERROR(INDEX('Reference Tables'!$B$3:$B$8,MATCH(D58,'Reference Tables'!$A$3:$A$8,0)),"Invalid package"))</f>
        <v/>
      </c>
      <c r="F58" s="12" t="str">
        <f aca="false">IF(D58="","",IFERROR(INDEX('Reference Tables'!$C$3:$C$8,MATCH(D58,'Reference Tables'!$A$3:$A$8,0)),"Invalid package"))</f>
        <v/>
      </c>
      <c r="G58" s="14" t="str">
        <f aca="false">IF(E58="","",'Reference Tables'!$C$15)</f>
        <v/>
      </c>
      <c r="H58" s="12" t="str">
        <f aca="false">IF(E58="","",IF(E58&gt;=150,"Yes","No"))</f>
        <v/>
      </c>
      <c r="I58" s="13" t="str">
        <f aca="false">IF(E58="","",IF(H58="Yes",E58*G58,0))</f>
        <v/>
      </c>
      <c r="J58" s="13" t="str">
        <f aca="false">IF(E58="","",E58-I58)</f>
        <v/>
      </c>
      <c r="K58" s="6"/>
      <c r="L58" s="6"/>
    </row>
    <row r="59" customFormat="false" ht="15" hidden="false" customHeight="false" outlineLevel="0" collapsed="false">
      <c r="A59" s="11"/>
      <c r="B59" s="6"/>
      <c r="C59" s="12" t="str">
        <f aca="false">IF(B59="","",IFERROR(INDEX('Gold Registry'!$B$4:$B$103,MATCH(B59,'Gold Registry'!$A$4:$A$103,0)),"Not found"))</f>
        <v/>
      </c>
      <c r="D59" s="6"/>
      <c r="E59" s="13" t="str">
        <f aca="false">IF(D59="","",IFERROR(INDEX('Reference Tables'!$B$3:$B$8,MATCH(D59,'Reference Tables'!$A$3:$A$8,0)),"Invalid package"))</f>
        <v/>
      </c>
      <c r="F59" s="12" t="str">
        <f aca="false">IF(D59="","",IFERROR(INDEX('Reference Tables'!$C$3:$C$8,MATCH(D59,'Reference Tables'!$A$3:$A$8,0)),"Invalid package"))</f>
        <v/>
      </c>
      <c r="G59" s="14" t="str">
        <f aca="false">IF(E59="","",'Reference Tables'!$C$15)</f>
        <v/>
      </c>
      <c r="H59" s="12" t="str">
        <f aca="false">IF(E59="","",IF(E59&gt;=150,"Yes","No"))</f>
        <v/>
      </c>
      <c r="I59" s="13" t="str">
        <f aca="false">IF(E59="","",IF(H59="Yes",E59*G59,0))</f>
        <v/>
      </c>
      <c r="J59" s="13" t="str">
        <f aca="false">IF(E59="","",E59-I59)</f>
        <v/>
      </c>
      <c r="K59" s="6"/>
      <c r="L59" s="6"/>
    </row>
    <row r="60" customFormat="false" ht="15" hidden="false" customHeight="false" outlineLevel="0" collapsed="false">
      <c r="A60" s="11"/>
      <c r="B60" s="6"/>
      <c r="C60" s="12" t="str">
        <f aca="false">IF(B60="","",IFERROR(INDEX('Gold Registry'!$B$4:$B$103,MATCH(B60,'Gold Registry'!$A$4:$A$103,0)),"Not found"))</f>
        <v/>
      </c>
      <c r="D60" s="6"/>
      <c r="E60" s="13" t="str">
        <f aca="false">IF(D60="","",IFERROR(INDEX('Reference Tables'!$B$3:$B$8,MATCH(D60,'Reference Tables'!$A$3:$A$8,0)),"Invalid package"))</f>
        <v/>
      </c>
      <c r="F60" s="12" t="str">
        <f aca="false">IF(D60="","",IFERROR(INDEX('Reference Tables'!$C$3:$C$8,MATCH(D60,'Reference Tables'!$A$3:$A$8,0)),"Invalid package"))</f>
        <v/>
      </c>
      <c r="G60" s="14" t="str">
        <f aca="false">IF(E60="","",'Reference Tables'!$C$15)</f>
        <v/>
      </c>
      <c r="H60" s="12" t="str">
        <f aca="false">IF(E60="","",IF(E60&gt;=150,"Yes","No"))</f>
        <v/>
      </c>
      <c r="I60" s="13" t="str">
        <f aca="false">IF(E60="","",IF(H60="Yes",E60*G60,0))</f>
        <v/>
      </c>
      <c r="J60" s="13" t="str">
        <f aca="false">IF(E60="","",E60-I60)</f>
        <v/>
      </c>
      <c r="K60" s="6"/>
      <c r="L60" s="6"/>
    </row>
    <row r="61" customFormat="false" ht="15" hidden="false" customHeight="false" outlineLevel="0" collapsed="false">
      <c r="A61" s="11"/>
      <c r="B61" s="6"/>
      <c r="C61" s="12" t="str">
        <f aca="false">IF(B61="","",IFERROR(INDEX('Gold Registry'!$B$4:$B$103,MATCH(B61,'Gold Registry'!$A$4:$A$103,0)),"Not found"))</f>
        <v/>
      </c>
      <c r="D61" s="6"/>
      <c r="E61" s="13" t="str">
        <f aca="false">IF(D61="","",IFERROR(INDEX('Reference Tables'!$B$3:$B$8,MATCH(D61,'Reference Tables'!$A$3:$A$8,0)),"Invalid package"))</f>
        <v/>
      </c>
      <c r="F61" s="12" t="str">
        <f aca="false">IF(D61="","",IFERROR(INDEX('Reference Tables'!$C$3:$C$8,MATCH(D61,'Reference Tables'!$A$3:$A$8,0)),"Invalid package"))</f>
        <v/>
      </c>
      <c r="G61" s="14" t="str">
        <f aca="false">IF(E61="","",'Reference Tables'!$C$15)</f>
        <v/>
      </c>
      <c r="H61" s="12" t="str">
        <f aca="false">IF(E61="","",IF(E61&gt;=150,"Yes","No"))</f>
        <v/>
      </c>
      <c r="I61" s="13" t="str">
        <f aca="false">IF(E61="","",IF(H61="Yes",E61*G61,0))</f>
        <v/>
      </c>
      <c r="J61" s="13" t="str">
        <f aca="false">IF(E61="","",E61-I61)</f>
        <v/>
      </c>
      <c r="K61" s="6"/>
      <c r="L61" s="6"/>
    </row>
    <row r="62" customFormat="false" ht="15" hidden="false" customHeight="false" outlineLevel="0" collapsed="false">
      <c r="A62" s="11"/>
      <c r="B62" s="6"/>
      <c r="C62" s="12" t="str">
        <f aca="false">IF(B62="","",IFERROR(INDEX('Gold Registry'!$B$4:$B$103,MATCH(B62,'Gold Registry'!$A$4:$A$103,0)),"Not found"))</f>
        <v/>
      </c>
      <c r="D62" s="6"/>
      <c r="E62" s="13" t="str">
        <f aca="false">IF(D62="","",IFERROR(INDEX('Reference Tables'!$B$3:$B$8,MATCH(D62,'Reference Tables'!$A$3:$A$8,0)),"Invalid package"))</f>
        <v/>
      </c>
      <c r="F62" s="12" t="str">
        <f aca="false">IF(D62="","",IFERROR(INDEX('Reference Tables'!$C$3:$C$8,MATCH(D62,'Reference Tables'!$A$3:$A$8,0)),"Invalid package"))</f>
        <v/>
      </c>
      <c r="G62" s="14" t="str">
        <f aca="false">IF(E62="","",'Reference Tables'!$C$15)</f>
        <v/>
      </c>
      <c r="H62" s="12" t="str">
        <f aca="false">IF(E62="","",IF(E62&gt;=150,"Yes","No"))</f>
        <v/>
      </c>
      <c r="I62" s="13" t="str">
        <f aca="false">IF(E62="","",IF(H62="Yes",E62*G62,0))</f>
        <v/>
      </c>
      <c r="J62" s="13" t="str">
        <f aca="false">IF(E62="","",E62-I62)</f>
        <v/>
      </c>
      <c r="K62" s="6"/>
      <c r="L62" s="6"/>
    </row>
    <row r="63" customFormat="false" ht="15" hidden="false" customHeight="false" outlineLevel="0" collapsed="false">
      <c r="A63" s="11"/>
      <c r="B63" s="6"/>
      <c r="C63" s="12" t="str">
        <f aca="false">IF(B63="","",IFERROR(INDEX('Gold Registry'!$B$4:$B$103,MATCH(B63,'Gold Registry'!$A$4:$A$103,0)),"Not found"))</f>
        <v/>
      </c>
      <c r="D63" s="6"/>
      <c r="E63" s="13" t="str">
        <f aca="false">IF(D63="","",IFERROR(INDEX('Reference Tables'!$B$3:$B$8,MATCH(D63,'Reference Tables'!$A$3:$A$8,0)),"Invalid package"))</f>
        <v/>
      </c>
      <c r="F63" s="12" t="str">
        <f aca="false">IF(D63="","",IFERROR(INDEX('Reference Tables'!$C$3:$C$8,MATCH(D63,'Reference Tables'!$A$3:$A$8,0)),"Invalid package"))</f>
        <v/>
      </c>
      <c r="G63" s="14" t="str">
        <f aca="false">IF(E63="","",'Reference Tables'!$C$15)</f>
        <v/>
      </c>
      <c r="H63" s="12" t="str">
        <f aca="false">IF(E63="","",IF(E63&gt;=150,"Yes","No"))</f>
        <v/>
      </c>
      <c r="I63" s="13" t="str">
        <f aca="false">IF(E63="","",IF(H63="Yes",E63*G63,0))</f>
        <v/>
      </c>
      <c r="J63" s="13" t="str">
        <f aca="false">IF(E63="","",E63-I63)</f>
        <v/>
      </c>
      <c r="K63" s="6"/>
      <c r="L63" s="6"/>
    </row>
    <row r="64" customFormat="false" ht="15" hidden="false" customHeight="false" outlineLevel="0" collapsed="false">
      <c r="A64" s="11"/>
      <c r="B64" s="6"/>
      <c r="C64" s="12" t="str">
        <f aca="false">IF(B64="","",IFERROR(INDEX('Gold Registry'!$B$4:$B$103,MATCH(B64,'Gold Registry'!$A$4:$A$103,0)),"Not found"))</f>
        <v/>
      </c>
      <c r="D64" s="6"/>
      <c r="E64" s="13" t="str">
        <f aca="false">IF(D64="","",IFERROR(INDEX('Reference Tables'!$B$3:$B$8,MATCH(D64,'Reference Tables'!$A$3:$A$8,0)),"Invalid package"))</f>
        <v/>
      </c>
      <c r="F64" s="12" t="str">
        <f aca="false">IF(D64="","",IFERROR(INDEX('Reference Tables'!$C$3:$C$8,MATCH(D64,'Reference Tables'!$A$3:$A$8,0)),"Invalid package"))</f>
        <v/>
      </c>
      <c r="G64" s="14" t="str">
        <f aca="false">IF(E64="","",'Reference Tables'!$C$15)</f>
        <v/>
      </c>
      <c r="H64" s="12" t="str">
        <f aca="false">IF(E64="","",IF(E64&gt;=150,"Yes","No"))</f>
        <v/>
      </c>
      <c r="I64" s="13" t="str">
        <f aca="false">IF(E64="","",IF(H64="Yes",E64*G64,0))</f>
        <v/>
      </c>
      <c r="J64" s="13" t="str">
        <f aca="false">IF(E64="","",E64-I64)</f>
        <v/>
      </c>
      <c r="K64" s="6"/>
      <c r="L64" s="6"/>
    </row>
    <row r="65" customFormat="false" ht="15" hidden="false" customHeight="false" outlineLevel="0" collapsed="false">
      <c r="A65" s="11"/>
      <c r="B65" s="6"/>
      <c r="C65" s="12" t="str">
        <f aca="false">IF(B65="","",IFERROR(INDEX('Gold Registry'!$B$4:$B$103,MATCH(B65,'Gold Registry'!$A$4:$A$103,0)),"Not found"))</f>
        <v/>
      </c>
      <c r="D65" s="6"/>
      <c r="E65" s="13" t="str">
        <f aca="false">IF(D65="","",IFERROR(INDEX('Reference Tables'!$B$3:$B$8,MATCH(D65,'Reference Tables'!$A$3:$A$8,0)),"Invalid package"))</f>
        <v/>
      </c>
      <c r="F65" s="12" t="str">
        <f aca="false">IF(D65="","",IFERROR(INDEX('Reference Tables'!$C$3:$C$8,MATCH(D65,'Reference Tables'!$A$3:$A$8,0)),"Invalid package"))</f>
        <v/>
      </c>
      <c r="G65" s="14" t="str">
        <f aca="false">IF(E65="","",'Reference Tables'!$C$15)</f>
        <v/>
      </c>
      <c r="H65" s="12" t="str">
        <f aca="false">IF(E65="","",IF(E65&gt;=150,"Yes","No"))</f>
        <v/>
      </c>
      <c r="I65" s="13" t="str">
        <f aca="false">IF(E65="","",IF(H65="Yes",E65*G65,0))</f>
        <v/>
      </c>
      <c r="J65" s="13" t="str">
        <f aca="false">IF(E65="","",E65-I65)</f>
        <v/>
      </c>
      <c r="K65" s="6"/>
      <c r="L65" s="6"/>
    </row>
    <row r="66" customFormat="false" ht="15" hidden="false" customHeight="false" outlineLevel="0" collapsed="false">
      <c r="A66" s="11"/>
      <c r="B66" s="6"/>
      <c r="C66" s="12" t="str">
        <f aca="false">IF(B66="","",IFERROR(INDEX('Gold Registry'!$B$4:$B$103,MATCH(B66,'Gold Registry'!$A$4:$A$103,0)),"Not found"))</f>
        <v/>
      </c>
      <c r="D66" s="6"/>
      <c r="E66" s="13" t="str">
        <f aca="false">IF(D66="","",IFERROR(INDEX('Reference Tables'!$B$3:$B$8,MATCH(D66,'Reference Tables'!$A$3:$A$8,0)),"Invalid package"))</f>
        <v/>
      </c>
      <c r="F66" s="12" t="str">
        <f aca="false">IF(D66="","",IFERROR(INDEX('Reference Tables'!$C$3:$C$8,MATCH(D66,'Reference Tables'!$A$3:$A$8,0)),"Invalid package"))</f>
        <v/>
      </c>
      <c r="G66" s="14" t="str">
        <f aca="false">IF(E66="","",'Reference Tables'!$C$15)</f>
        <v/>
      </c>
      <c r="H66" s="12" t="str">
        <f aca="false">IF(E66="","",IF(E66&gt;=150,"Yes","No"))</f>
        <v/>
      </c>
      <c r="I66" s="13" t="str">
        <f aca="false">IF(E66="","",IF(H66="Yes",E66*G66,0))</f>
        <v/>
      </c>
      <c r="J66" s="13" t="str">
        <f aca="false">IF(E66="","",E66-I66)</f>
        <v/>
      </c>
      <c r="K66" s="6"/>
      <c r="L66" s="6"/>
    </row>
    <row r="67" customFormat="false" ht="15" hidden="false" customHeight="false" outlineLevel="0" collapsed="false">
      <c r="A67" s="11"/>
      <c r="B67" s="6"/>
      <c r="C67" s="12" t="str">
        <f aca="false">IF(B67="","",IFERROR(INDEX('Gold Registry'!$B$4:$B$103,MATCH(B67,'Gold Registry'!$A$4:$A$103,0)),"Not found"))</f>
        <v/>
      </c>
      <c r="D67" s="6"/>
      <c r="E67" s="13" t="str">
        <f aca="false">IF(D67="","",IFERROR(INDEX('Reference Tables'!$B$3:$B$8,MATCH(D67,'Reference Tables'!$A$3:$A$8,0)),"Invalid package"))</f>
        <v/>
      </c>
      <c r="F67" s="12" t="str">
        <f aca="false">IF(D67="","",IFERROR(INDEX('Reference Tables'!$C$3:$C$8,MATCH(D67,'Reference Tables'!$A$3:$A$8,0)),"Invalid package"))</f>
        <v/>
      </c>
      <c r="G67" s="14" t="str">
        <f aca="false">IF(E67="","",'Reference Tables'!$C$15)</f>
        <v/>
      </c>
      <c r="H67" s="12" t="str">
        <f aca="false">IF(E67="","",IF(E67&gt;=150,"Yes","No"))</f>
        <v/>
      </c>
      <c r="I67" s="13" t="str">
        <f aca="false">IF(E67="","",IF(H67="Yes",E67*G67,0))</f>
        <v/>
      </c>
      <c r="J67" s="13" t="str">
        <f aca="false">IF(E67="","",E67-I67)</f>
        <v/>
      </c>
      <c r="K67" s="6"/>
      <c r="L67" s="6"/>
    </row>
    <row r="68" customFormat="false" ht="15" hidden="false" customHeight="false" outlineLevel="0" collapsed="false">
      <c r="A68" s="11"/>
      <c r="B68" s="6"/>
      <c r="C68" s="12" t="str">
        <f aca="false">IF(B68="","",IFERROR(INDEX('Gold Registry'!$B$4:$B$103,MATCH(B68,'Gold Registry'!$A$4:$A$103,0)),"Not found"))</f>
        <v/>
      </c>
      <c r="D68" s="6"/>
      <c r="E68" s="13" t="str">
        <f aca="false">IF(D68="","",IFERROR(INDEX('Reference Tables'!$B$3:$B$8,MATCH(D68,'Reference Tables'!$A$3:$A$8,0)),"Invalid package"))</f>
        <v/>
      </c>
      <c r="F68" s="12" t="str">
        <f aca="false">IF(D68="","",IFERROR(INDEX('Reference Tables'!$C$3:$C$8,MATCH(D68,'Reference Tables'!$A$3:$A$8,0)),"Invalid package"))</f>
        <v/>
      </c>
      <c r="G68" s="14" t="str">
        <f aca="false">IF(E68="","",'Reference Tables'!$C$15)</f>
        <v/>
      </c>
      <c r="H68" s="12" t="str">
        <f aca="false">IF(E68="","",IF(E68&gt;=150,"Yes","No"))</f>
        <v/>
      </c>
      <c r="I68" s="13" t="str">
        <f aca="false">IF(E68="","",IF(H68="Yes",E68*G68,0))</f>
        <v/>
      </c>
      <c r="J68" s="13" t="str">
        <f aca="false">IF(E68="","",E68-I68)</f>
        <v/>
      </c>
      <c r="K68" s="6"/>
      <c r="L68" s="6"/>
    </row>
    <row r="69" customFormat="false" ht="15" hidden="false" customHeight="false" outlineLevel="0" collapsed="false">
      <c r="A69" s="11"/>
      <c r="B69" s="6"/>
      <c r="C69" s="12" t="str">
        <f aca="false">IF(B69="","",IFERROR(INDEX('Gold Registry'!$B$4:$B$103,MATCH(B69,'Gold Registry'!$A$4:$A$103,0)),"Not found"))</f>
        <v/>
      </c>
      <c r="D69" s="6"/>
      <c r="E69" s="13" t="str">
        <f aca="false">IF(D69="","",IFERROR(INDEX('Reference Tables'!$B$3:$B$8,MATCH(D69,'Reference Tables'!$A$3:$A$8,0)),"Invalid package"))</f>
        <v/>
      </c>
      <c r="F69" s="12" t="str">
        <f aca="false">IF(D69="","",IFERROR(INDEX('Reference Tables'!$C$3:$C$8,MATCH(D69,'Reference Tables'!$A$3:$A$8,0)),"Invalid package"))</f>
        <v/>
      </c>
      <c r="G69" s="14" t="str">
        <f aca="false">IF(E69="","",'Reference Tables'!$C$15)</f>
        <v/>
      </c>
      <c r="H69" s="12" t="str">
        <f aca="false">IF(E69="","",IF(E69&gt;=150,"Yes","No"))</f>
        <v/>
      </c>
      <c r="I69" s="13" t="str">
        <f aca="false">IF(E69="","",IF(H69="Yes",E69*G69,0))</f>
        <v/>
      </c>
      <c r="J69" s="13" t="str">
        <f aca="false">IF(E69="","",E69-I69)</f>
        <v/>
      </c>
      <c r="K69" s="6"/>
      <c r="L69" s="6"/>
    </row>
    <row r="70" customFormat="false" ht="15" hidden="false" customHeight="false" outlineLevel="0" collapsed="false">
      <c r="A70" s="11"/>
      <c r="B70" s="6"/>
      <c r="C70" s="12" t="str">
        <f aca="false">IF(B70="","",IFERROR(INDEX('Gold Registry'!$B$4:$B$103,MATCH(B70,'Gold Registry'!$A$4:$A$103,0)),"Not found"))</f>
        <v/>
      </c>
      <c r="D70" s="6"/>
      <c r="E70" s="13" t="str">
        <f aca="false">IF(D70="","",IFERROR(INDEX('Reference Tables'!$B$3:$B$8,MATCH(D70,'Reference Tables'!$A$3:$A$8,0)),"Invalid package"))</f>
        <v/>
      </c>
      <c r="F70" s="12" t="str">
        <f aca="false">IF(D70="","",IFERROR(INDEX('Reference Tables'!$C$3:$C$8,MATCH(D70,'Reference Tables'!$A$3:$A$8,0)),"Invalid package"))</f>
        <v/>
      </c>
      <c r="G70" s="14" t="str">
        <f aca="false">IF(E70="","",'Reference Tables'!$C$15)</f>
        <v/>
      </c>
      <c r="H70" s="12" t="str">
        <f aca="false">IF(E70="","",IF(E70&gt;=150,"Yes","No"))</f>
        <v/>
      </c>
      <c r="I70" s="13" t="str">
        <f aca="false">IF(E70="","",IF(H70="Yes",E70*G70,0))</f>
        <v/>
      </c>
      <c r="J70" s="13" t="str">
        <f aca="false">IF(E70="","",E70-I70)</f>
        <v/>
      </c>
      <c r="K70" s="6"/>
      <c r="L70" s="6"/>
    </row>
    <row r="71" customFormat="false" ht="15" hidden="false" customHeight="false" outlineLevel="0" collapsed="false">
      <c r="A71" s="11"/>
      <c r="B71" s="6"/>
      <c r="C71" s="12" t="str">
        <f aca="false">IF(B71="","",IFERROR(INDEX('Gold Registry'!$B$4:$B$103,MATCH(B71,'Gold Registry'!$A$4:$A$103,0)),"Not found"))</f>
        <v/>
      </c>
      <c r="D71" s="6"/>
      <c r="E71" s="13" t="str">
        <f aca="false">IF(D71="","",IFERROR(INDEX('Reference Tables'!$B$3:$B$8,MATCH(D71,'Reference Tables'!$A$3:$A$8,0)),"Invalid package"))</f>
        <v/>
      </c>
      <c r="F71" s="12" t="str">
        <f aca="false">IF(D71="","",IFERROR(INDEX('Reference Tables'!$C$3:$C$8,MATCH(D71,'Reference Tables'!$A$3:$A$8,0)),"Invalid package"))</f>
        <v/>
      </c>
      <c r="G71" s="14" t="str">
        <f aca="false">IF(E71="","",'Reference Tables'!$C$15)</f>
        <v/>
      </c>
      <c r="H71" s="12" t="str">
        <f aca="false">IF(E71="","",IF(E71&gt;=150,"Yes","No"))</f>
        <v/>
      </c>
      <c r="I71" s="13" t="str">
        <f aca="false">IF(E71="","",IF(H71="Yes",E71*G71,0))</f>
        <v/>
      </c>
      <c r="J71" s="13" t="str">
        <f aca="false">IF(E71="","",E71-I71)</f>
        <v/>
      </c>
      <c r="K71" s="6"/>
      <c r="L71" s="6"/>
    </row>
    <row r="72" customFormat="false" ht="15" hidden="false" customHeight="false" outlineLevel="0" collapsed="false">
      <c r="A72" s="11"/>
      <c r="B72" s="6"/>
      <c r="C72" s="12" t="str">
        <f aca="false">IF(B72="","",IFERROR(INDEX('Gold Registry'!$B$4:$B$103,MATCH(B72,'Gold Registry'!$A$4:$A$103,0)),"Not found"))</f>
        <v/>
      </c>
      <c r="D72" s="6"/>
      <c r="E72" s="13" t="str">
        <f aca="false">IF(D72="","",IFERROR(INDEX('Reference Tables'!$B$3:$B$8,MATCH(D72,'Reference Tables'!$A$3:$A$8,0)),"Invalid package"))</f>
        <v/>
      </c>
      <c r="F72" s="12" t="str">
        <f aca="false">IF(D72="","",IFERROR(INDEX('Reference Tables'!$C$3:$C$8,MATCH(D72,'Reference Tables'!$A$3:$A$8,0)),"Invalid package"))</f>
        <v/>
      </c>
      <c r="G72" s="14" t="str">
        <f aca="false">IF(E72="","",'Reference Tables'!$C$15)</f>
        <v/>
      </c>
      <c r="H72" s="12" t="str">
        <f aca="false">IF(E72="","",IF(E72&gt;=150,"Yes","No"))</f>
        <v/>
      </c>
      <c r="I72" s="13" t="str">
        <f aca="false">IF(E72="","",IF(H72="Yes",E72*G72,0))</f>
        <v/>
      </c>
      <c r="J72" s="13" t="str">
        <f aca="false">IF(E72="","",E72-I72)</f>
        <v/>
      </c>
      <c r="K72" s="6"/>
      <c r="L72" s="6"/>
    </row>
    <row r="73" customFormat="false" ht="15" hidden="false" customHeight="false" outlineLevel="0" collapsed="false">
      <c r="A73" s="11"/>
      <c r="B73" s="6"/>
      <c r="C73" s="12" t="str">
        <f aca="false">IF(B73="","",IFERROR(INDEX('Gold Registry'!$B$4:$B$103,MATCH(B73,'Gold Registry'!$A$4:$A$103,0)),"Not found"))</f>
        <v/>
      </c>
      <c r="D73" s="6"/>
      <c r="E73" s="13" t="str">
        <f aca="false">IF(D73="","",IFERROR(INDEX('Reference Tables'!$B$3:$B$8,MATCH(D73,'Reference Tables'!$A$3:$A$8,0)),"Invalid package"))</f>
        <v/>
      </c>
      <c r="F73" s="12" t="str">
        <f aca="false">IF(D73="","",IFERROR(INDEX('Reference Tables'!$C$3:$C$8,MATCH(D73,'Reference Tables'!$A$3:$A$8,0)),"Invalid package"))</f>
        <v/>
      </c>
      <c r="G73" s="14" t="str">
        <f aca="false">IF(E73="","",'Reference Tables'!$C$15)</f>
        <v/>
      </c>
      <c r="H73" s="12" t="str">
        <f aca="false">IF(E73="","",IF(E73&gt;=150,"Yes","No"))</f>
        <v/>
      </c>
      <c r="I73" s="13" t="str">
        <f aca="false">IF(E73="","",IF(H73="Yes",E73*G73,0))</f>
        <v/>
      </c>
      <c r="J73" s="13" t="str">
        <f aca="false">IF(E73="","",E73-I73)</f>
        <v/>
      </c>
      <c r="K73" s="6"/>
      <c r="L73" s="6"/>
    </row>
    <row r="74" customFormat="false" ht="15" hidden="false" customHeight="false" outlineLevel="0" collapsed="false">
      <c r="A74" s="11"/>
      <c r="B74" s="6"/>
      <c r="C74" s="12" t="str">
        <f aca="false">IF(B74="","",IFERROR(INDEX('Gold Registry'!$B$4:$B$103,MATCH(B74,'Gold Registry'!$A$4:$A$103,0)),"Not found"))</f>
        <v/>
      </c>
      <c r="D74" s="6"/>
      <c r="E74" s="13" t="str">
        <f aca="false">IF(D74="","",IFERROR(INDEX('Reference Tables'!$B$3:$B$8,MATCH(D74,'Reference Tables'!$A$3:$A$8,0)),"Invalid package"))</f>
        <v/>
      </c>
      <c r="F74" s="12" t="str">
        <f aca="false">IF(D74="","",IFERROR(INDEX('Reference Tables'!$C$3:$C$8,MATCH(D74,'Reference Tables'!$A$3:$A$8,0)),"Invalid package"))</f>
        <v/>
      </c>
      <c r="G74" s="14" t="str">
        <f aca="false">IF(E74="","",'Reference Tables'!$C$15)</f>
        <v/>
      </c>
      <c r="H74" s="12" t="str">
        <f aca="false">IF(E74="","",IF(E74&gt;=150,"Yes","No"))</f>
        <v/>
      </c>
      <c r="I74" s="13" t="str">
        <f aca="false">IF(E74="","",IF(H74="Yes",E74*G74,0))</f>
        <v/>
      </c>
      <c r="J74" s="13" t="str">
        <f aca="false">IF(E74="","",E74-I74)</f>
        <v/>
      </c>
      <c r="K74" s="6"/>
      <c r="L74" s="6"/>
    </row>
    <row r="75" customFormat="false" ht="15" hidden="false" customHeight="false" outlineLevel="0" collapsed="false">
      <c r="A75" s="11"/>
      <c r="B75" s="6"/>
      <c r="C75" s="12" t="str">
        <f aca="false">IF(B75="","",IFERROR(INDEX('Gold Registry'!$B$4:$B$103,MATCH(B75,'Gold Registry'!$A$4:$A$103,0)),"Not found"))</f>
        <v/>
      </c>
      <c r="D75" s="6"/>
      <c r="E75" s="13" t="str">
        <f aca="false">IF(D75="","",IFERROR(INDEX('Reference Tables'!$B$3:$B$8,MATCH(D75,'Reference Tables'!$A$3:$A$8,0)),"Invalid package"))</f>
        <v/>
      </c>
      <c r="F75" s="12" t="str">
        <f aca="false">IF(D75="","",IFERROR(INDEX('Reference Tables'!$C$3:$C$8,MATCH(D75,'Reference Tables'!$A$3:$A$8,0)),"Invalid package"))</f>
        <v/>
      </c>
      <c r="G75" s="14" t="str">
        <f aca="false">IF(E75="","",'Reference Tables'!$C$15)</f>
        <v/>
      </c>
      <c r="H75" s="12" t="str">
        <f aca="false">IF(E75="","",IF(E75&gt;=150,"Yes","No"))</f>
        <v/>
      </c>
      <c r="I75" s="13" t="str">
        <f aca="false">IF(E75="","",IF(H75="Yes",E75*G75,0))</f>
        <v/>
      </c>
      <c r="J75" s="13" t="str">
        <f aca="false">IF(E75="","",E75-I75)</f>
        <v/>
      </c>
      <c r="K75" s="6"/>
      <c r="L75" s="6"/>
    </row>
    <row r="76" customFormat="false" ht="15" hidden="false" customHeight="false" outlineLevel="0" collapsed="false">
      <c r="A76" s="11"/>
      <c r="B76" s="6"/>
      <c r="C76" s="12" t="str">
        <f aca="false">IF(B76="","",IFERROR(INDEX('Gold Registry'!$B$4:$B$103,MATCH(B76,'Gold Registry'!$A$4:$A$103,0)),"Not found"))</f>
        <v/>
      </c>
      <c r="D76" s="6"/>
      <c r="E76" s="13" t="str">
        <f aca="false">IF(D76="","",IFERROR(INDEX('Reference Tables'!$B$3:$B$8,MATCH(D76,'Reference Tables'!$A$3:$A$8,0)),"Invalid package"))</f>
        <v/>
      </c>
      <c r="F76" s="12" t="str">
        <f aca="false">IF(D76="","",IFERROR(INDEX('Reference Tables'!$C$3:$C$8,MATCH(D76,'Reference Tables'!$A$3:$A$8,0)),"Invalid package"))</f>
        <v/>
      </c>
      <c r="G76" s="14" t="str">
        <f aca="false">IF(E76="","",'Reference Tables'!$C$15)</f>
        <v/>
      </c>
      <c r="H76" s="12" t="str">
        <f aca="false">IF(E76="","",IF(E76&gt;=150,"Yes","No"))</f>
        <v/>
      </c>
      <c r="I76" s="13" t="str">
        <f aca="false">IF(E76="","",IF(H76="Yes",E76*G76,0))</f>
        <v/>
      </c>
      <c r="J76" s="13" t="str">
        <f aca="false">IF(E76="","",E76-I76)</f>
        <v/>
      </c>
      <c r="K76" s="6"/>
      <c r="L76" s="6"/>
    </row>
    <row r="77" customFormat="false" ht="15" hidden="false" customHeight="false" outlineLevel="0" collapsed="false">
      <c r="A77" s="11"/>
      <c r="B77" s="6"/>
      <c r="C77" s="12" t="str">
        <f aca="false">IF(B77="","",IFERROR(INDEX('Gold Registry'!$B$4:$B$103,MATCH(B77,'Gold Registry'!$A$4:$A$103,0)),"Not found"))</f>
        <v/>
      </c>
      <c r="D77" s="6"/>
      <c r="E77" s="13" t="str">
        <f aca="false">IF(D77="","",IFERROR(INDEX('Reference Tables'!$B$3:$B$8,MATCH(D77,'Reference Tables'!$A$3:$A$8,0)),"Invalid package"))</f>
        <v/>
      </c>
      <c r="F77" s="12" t="str">
        <f aca="false">IF(D77="","",IFERROR(INDEX('Reference Tables'!$C$3:$C$8,MATCH(D77,'Reference Tables'!$A$3:$A$8,0)),"Invalid package"))</f>
        <v/>
      </c>
      <c r="G77" s="14" t="str">
        <f aca="false">IF(E77="","",'Reference Tables'!$C$15)</f>
        <v/>
      </c>
      <c r="H77" s="12" t="str">
        <f aca="false">IF(E77="","",IF(E77&gt;=150,"Yes","No"))</f>
        <v/>
      </c>
      <c r="I77" s="13" t="str">
        <f aca="false">IF(E77="","",IF(H77="Yes",E77*G77,0))</f>
        <v/>
      </c>
      <c r="J77" s="13" t="str">
        <f aca="false">IF(E77="","",E77-I77)</f>
        <v/>
      </c>
      <c r="K77" s="6"/>
      <c r="L77" s="6"/>
    </row>
    <row r="78" customFormat="false" ht="15" hidden="false" customHeight="false" outlineLevel="0" collapsed="false">
      <c r="A78" s="11"/>
      <c r="B78" s="6"/>
      <c r="C78" s="12" t="str">
        <f aca="false">IF(B78="","",IFERROR(INDEX('Gold Registry'!$B$4:$B$103,MATCH(B78,'Gold Registry'!$A$4:$A$103,0)),"Not found"))</f>
        <v/>
      </c>
      <c r="D78" s="6"/>
      <c r="E78" s="13" t="str">
        <f aca="false">IF(D78="","",IFERROR(INDEX('Reference Tables'!$B$3:$B$8,MATCH(D78,'Reference Tables'!$A$3:$A$8,0)),"Invalid package"))</f>
        <v/>
      </c>
      <c r="F78" s="12" t="str">
        <f aca="false">IF(D78="","",IFERROR(INDEX('Reference Tables'!$C$3:$C$8,MATCH(D78,'Reference Tables'!$A$3:$A$8,0)),"Invalid package"))</f>
        <v/>
      </c>
      <c r="G78" s="14" t="str">
        <f aca="false">IF(E78="","",'Reference Tables'!$C$15)</f>
        <v/>
      </c>
      <c r="H78" s="12" t="str">
        <f aca="false">IF(E78="","",IF(E78&gt;=150,"Yes","No"))</f>
        <v/>
      </c>
      <c r="I78" s="13" t="str">
        <f aca="false">IF(E78="","",IF(H78="Yes",E78*G78,0))</f>
        <v/>
      </c>
      <c r="J78" s="13" t="str">
        <f aca="false">IF(E78="","",E78-I78)</f>
        <v/>
      </c>
      <c r="K78" s="6"/>
      <c r="L78" s="6"/>
    </row>
    <row r="79" customFormat="false" ht="15" hidden="false" customHeight="false" outlineLevel="0" collapsed="false">
      <c r="A79" s="11"/>
      <c r="B79" s="6"/>
      <c r="C79" s="12" t="str">
        <f aca="false">IF(B79="","",IFERROR(INDEX('Gold Registry'!$B$4:$B$103,MATCH(B79,'Gold Registry'!$A$4:$A$103,0)),"Not found"))</f>
        <v/>
      </c>
      <c r="D79" s="6"/>
      <c r="E79" s="13" t="str">
        <f aca="false">IF(D79="","",IFERROR(INDEX('Reference Tables'!$B$3:$B$8,MATCH(D79,'Reference Tables'!$A$3:$A$8,0)),"Invalid package"))</f>
        <v/>
      </c>
      <c r="F79" s="12" t="str">
        <f aca="false">IF(D79="","",IFERROR(INDEX('Reference Tables'!$C$3:$C$8,MATCH(D79,'Reference Tables'!$A$3:$A$8,0)),"Invalid package"))</f>
        <v/>
      </c>
      <c r="G79" s="14" t="str">
        <f aca="false">IF(E79="","",'Reference Tables'!$C$15)</f>
        <v/>
      </c>
      <c r="H79" s="12" t="str">
        <f aca="false">IF(E79="","",IF(E79&gt;=150,"Yes","No"))</f>
        <v/>
      </c>
      <c r="I79" s="13" t="str">
        <f aca="false">IF(E79="","",IF(H79="Yes",E79*G79,0))</f>
        <v/>
      </c>
      <c r="J79" s="13" t="str">
        <f aca="false">IF(E79="","",E79-I79)</f>
        <v/>
      </c>
      <c r="K79" s="6"/>
      <c r="L79" s="6"/>
    </row>
    <row r="80" customFormat="false" ht="15" hidden="false" customHeight="false" outlineLevel="0" collapsed="false">
      <c r="A80" s="11"/>
      <c r="B80" s="6"/>
      <c r="C80" s="12" t="str">
        <f aca="false">IF(B80="","",IFERROR(INDEX('Gold Registry'!$B$4:$B$103,MATCH(B80,'Gold Registry'!$A$4:$A$103,0)),"Not found"))</f>
        <v/>
      </c>
      <c r="D80" s="6"/>
      <c r="E80" s="13" t="str">
        <f aca="false">IF(D80="","",IFERROR(INDEX('Reference Tables'!$B$3:$B$8,MATCH(D80,'Reference Tables'!$A$3:$A$8,0)),"Invalid package"))</f>
        <v/>
      </c>
      <c r="F80" s="12" t="str">
        <f aca="false">IF(D80="","",IFERROR(INDEX('Reference Tables'!$C$3:$C$8,MATCH(D80,'Reference Tables'!$A$3:$A$8,0)),"Invalid package"))</f>
        <v/>
      </c>
      <c r="G80" s="14" t="str">
        <f aca="false">IF(E80="","",'Reference Tables'!$C$15)</f>
        <v/>
      </c>
      <c r="H80" s="12" t="str">
        <f aca="false">IF(E80="","",IF(E80&gt;=150,"Yes","No"))</f>
        <v/>
      </c>
      <c r="I80" s="13" t="str">
        <f aca="false">IF(E80="","",IF(H80="Yes",E80*G80,0))</f>
        <v/>
      </c>
      <c r="J80" s="13" t="str">
        <f aca="false">IF(E80="","",E80-I80)</f>
        <v/>
      </c>
      <c r="K80" s="6"/>
      <c r="L80" s="6"/>
    </row>
    <row r="81" customFormat="false" ht="15" hidden="false" customHeight="false" outlineLevel="0" collapsed="false">
      <c r="A81" s="11"/>
      <c r="B81" s="6"/>
      <c r="C81" s="12" t="str">
        <f aca="false">IF(B81="","",IFERROR(INDEX('Gold Registry'!$B$4:$B$103,MATCH(B81,'Gold Registry'!$A$4:$A$103,0)),"Not found"))</f>
        <v/>
      </c>
      <c r="D81" s="6"/>
      <c r="E81" s="13" t="str">
        <f aca="false">IF(D81="","",IFERROR(INDEX('Reference Tables'!$B$3:$B$8,MATCH(D81,'Reference Tables'!$A$3:$A$8,0)),"Invalid package"))</f>
        <v/>
      </c>
      <c r="F81" s="12" t="str">
        <f aca="false">IF(D81="","",IFERROR(INDEX('Reference Tables'!$C$3:$C$8,MATCH(D81,'Reference Tables'!$A$3:$A$8,0)),"Invalid package"))</f>
        <v/>
      </c>
      <c r="G81" s="14" t="str">
        <f aca="false">IF(E81="","",'Reference Tables'!$C$15)</f>
        <v/>
      </c>
      <c r="H81" s="12" t="str">
        <f aca="false">IF(E81="","",IF(E81&gt;=150,"Yes","No"))</f>
        <v/>
      </c>
      <c r="I81" s="13" t="str">
        <f aca="false">IF(E81="","",IF(H81="Yes",E81*G81,0))</f>
        <v/>
      </c>
      <c r="J81" s="13" t="str">
        <f aca="false">IF(E81="","",E81-I81)</f>
        <v/>
      </c>
      <c r="K81" s="6"/>
      <c r="L81" s="6"/>
    </row>
    <row r="82" customFormat="false" ht="15" hidden="false" customHeight="false" outlineLevel="0" collapsed="false">
      <c r="A82" s="11"/>
      <c r="B82" s="6"/>
      <c r="C82" s="12" t="str">
        <f aca="false">IF(B82="","",IFERROR(INDEX('Gold Registry'!$B$4:$B$103,MATCH(B82,'Gold Registry'!$A$4:$A$103,0)),"Not found"))</f>
        <v/>
      </c>
      <c r="D82" s="6"/>
      <c r="E82" s="13" t="str">
        <f aca="false">IF(D82="","",IFERROR(INDEX('Reference Tables'!$B$3:$B$8,MATCH(D82,'Reference Tables'!$A$3:$A$8,0)),"Invalid package"))</f>
        <v/>
      </c>
      <c r="F82" s="12" t="str">
        <f aca="false">IF(D82="","",IFERROR(INDEX('Reference Tables'!$C$3:$C$8,MATCH(D82,'Reference Tables'!$A$3:$A$8,0)),"Invalid package"))</f>
        <v/>
      </c>
      <c r="G82" s="14" t="str">
        <f aca="false">IF(E82="","",'Reference Tables'!$C$15)</f>
        <v/>
      </c>
      <c r="H82" s="12" t="str">
        <f aca="false">IF(E82="","",IF(E82&gt;=150,"Yes","No"))</f>
        <v/>
      </c>
      <c r="I82" s="13" t="str">
        <f aca="false">IF(E82="","",IF(H82="Yes",E82*G82,0))</f>
        <v/>
      </c>
      <c r="J82" s="13" t="str">
        <f aca="false">IF(E82="","",E82-I82)</f>
        <v/>
      </c>
      <c r="K82" s="6"/>
      <c r="L82" s="6"/>
    </row>
    <row r="83" customFormat="false" ht="15" hidden="false" customHeight="false" outlineLevel="0" collapsed="false">
      <c r="A83" s="11"/>
      <c r="B83" s="6"/>
      <c r="C83" s="12" t="str">
        <f aca="false">IF(B83="","",IFERROR(INDEX('Gold Registry'!$B$4:$B$103,MATCH(B83,'Gold Registry'!$A$4:$A$103,0)),"Not found"))</f>
        <v/>
      </c>
      <c r="D83" s="6"/>
      <c r="E83" s="13" t="str">
        <f aca="false">IF(D83="","",IFERROR(INDEX('Reference Tables'!$B$3:$B$8,MATCH(D83,'Reference Tables'!$A$3:$A$8,0)),"Invalid package"))</f>
        <v/>
      </c>
      <c r="F83" s="12" t="str">
        <f aca="false">IF(D83="","",IFERROR(INDEX('Reference Tables'!$C$3:$C$8,MATCH(D83,'Reference Tables'!$A$3:$A$8,0)),"Invalid package"))</f>
        <v/>
      </c>
      <c r="G83" s="14" t="str">
        <f aca="false">IF(E83="","",'Reference Tables'!$C$15)</f>
        <v/>
      </c>
      <c r="H83" s="12" t="str">
        <f aca="false">IF(E83="","",IF(E83&gt;=150,"Yes","No"))</f>
        <v/>
      </c>
      <c r="I83" s="13" t="str">
        <f aca="false">IF(E83="","",IF(H83="Yes",E83*G83,0))</f>
        <v/>
      </c>
      <c r="J83" s="13" t="str">
        <f aca="false">IF(E83="","",E83-I83)</f>
        <v/>
      </c>
      <c r="K83" s="6"/>
      <c r="L83" s="6"/>
    </row>
    <row r="84" customFormat="false" ht="15" hidden="false" customHeight="false" outlineLevel="0" collapsed="false">
      <c r="A84" s="11"/>
      <c r="B84" s="6"/>
      <c r="C84" s="12" t="str">
        <f aca="false">IF(B84="","",IFERROR(INDEX('Gold Registry'!$B$4:$B$103,MATCH(B84,'Gold Registry'!$A$4:$A$103,0)),"Not found"))</f>
        <v/>
      </c>
      <c r="D84" s="6"/>
      <c r="E84" s="13" t="str">
        <f aca="false">IF(D84="","",IFERROR(INDEX('Reference Tables'!$B$3:$B$8,MATCH(D84,'Reference Tables'!$A$3:$A$8,0)),"Invalid package"))</f>
        <v/>
      </c>
      <c r="F84" s="12" t="str">
        <f aca="false">IF(D84="","",IFERROR(INDEX('Reference Tables'!$C$3:$C$8,MATCH(D84,'Reference Tables'!$A$3:$A$8,0)),"Invalid package"))</f>
        <v/>
      </c>
      <c r="G84" s="14" t="str">
        <f aca="false">IF(E84="","",'Reference Tables'!$C$15)</f>
        <v/>
      </c>
      <c r="H84" s="12" t="str">
        <f aca="false">IF(E84="","",IF(E84&gt;=150,"Yes","No"))</f>
        <v/>
      </c>
      <c r="I84" s="13" t="str">
        <f aca="false">IF(E84="","",IF(H84="Yes",E84*G84,0))</f>
        <v/>
      </c>
      <c r="J84" s="13" t="str">
        <f aca="false">IF(E84="","",E84-I84)</f>
        <v/>
      </c>
      <c r="K84" s="6"/>
      <c r="L84" s="6"/>
    </row>
    <row r="85" customFormat="false" ht="15" hidden="false" customHeight="false" outlineLevel="0" collapsed="false">
      <c r="A85" s="11"/>
      <c r="B85" s="6"/>
      <c r="C85" s="12" t="str">
        <f aca="false">IF(B85="","",IFERROR(INDEX('Gold Registry'!$B$4:$B$103,MATCH(B85,'Gold Registry'!$A$4:$A$103,0)),"Not found"))</f>
        <v/>
      </c>
      <c r="D85" s="6"/>
      <c r="E85" s="13" t="str">
        <f aca="false">IF(D85="","",IFERROR(INDEX('Reference Tables'!$B$3:$B$8,MATCH(D85,'Reference Tables'!$A$3:$A$8,0)),"Invalid package"))</f>
        <v/>
      </c>
      <c r="F85" s="12" t="str">
        <f aca="false">IF(D85="","",IFERROR(INDEX('Reference Tables'!$C$3:$C$8,MATCH(D85,'Reference Tables'!$A$3:$A$8,0)),"Invalid package"))</f>
        <v/>
      </c>
      <c r="G85" s="14" t="str">
        <f aca="false">IF(E85="","",'Reference Tables'!$C$15)</f>
        <v/>
      </c>
      <c r="H85" s="12" t="str">
        <f aca="false">IF(E85="","",IF(E85&gt;=150,"Yes","No"))</f>
        <v/>
      </c>
      <c r="I85" s="13" t="str">
        <f aca="false">IF(E85="","",IF(H85="Yes",E85*G85,0))</f>
        <v/>
      </c>
      <c r="J85" s="13" t="str">
        <f aca="false">IF(E85="","",E85-I85)</f>
        <v/>
      </c>
      <c r="K85" s="6"/>
      <c r="L85" s="6"/>
    </row>
    <row r="86" customFormat="false" ht="15" hidden="false" customHeight="false" outlineLevel="0" collapsed="false">
      <c r="A86" s="11"/>
      <c r="B86" s="6"/>
      <c r="C86" s="12" t="str">
        <f aca="false">IF(B86="","",IFERROR(INDEX('Gold Registry'!$B$4:$B$103,MATCH(B86,'Gold Registry'!$A$4:$A$103,0)),"Not found"))</f>
        <v/>
      </c>
      <c r="D86" s="6"/>
      <c r="E86" s="13" t="str">
        <f aca="false">IF(D86="","",IFERROR(INDEX('Reference Tables'!$B$3:$B$8,MATCH(D86,'Reference Tables'!$A$3:$A$8,0)),"Invalid package"))</f>
        <v/>
      </c>
      <c r="F86" s="12" t="str">
        <f aca="false">IF(D86="","",IFERROR(INDEX('Reference Tables'!$C$3:$C$8,MATCH(D86,'Reference Tables'!$A$3:$A$8,0)),"Invalid package"))</f>
        <v/>
      </c>
      <c r="G86" s="14" t="str">
        <f aca="false">IF(E86="","",'Reference Tables'!$C$15)</f>
        <v/>
      </c>
      <c r="H86" s="12" t="str">
        <f aca="false">IF(E86="","",IF(E86&gt;=150,"Yes","No"))</f>
        <v/>
      </c>
      <c r="I86" s="13" t="str">
        <f aca="false">IF(E86="","",IF(H86="Yes",E86*G86,0))</f>
        <v/>
      </c>
      <c r="J86" s="13" t="str">
        <f aca="false">IF(E86="","",E86-I86)</f>
        <v/>
      </c>
      <c r="K86" s="6"/>
      <c r="L86" s="6"/>
    </row>
    <row r="87" customFormat="false" ht="15" hidden="false" customHeight="false" outlineLevel="0" collapsed="false">
      <c r="A87" s="11"/>
      <c r="B87" s="6"/>
      <c r="C87" s="12" t="str">
        <f aca="false">IF(B87="","",IFERROR(INDEX('Gold Registry'!$B$4:$B$103,MATCH(B87,'Gold Registry'!$A$4:$A$103,0)),"Not found"))</f>
        <v/>
      </c>
      <c r="D87" s="6"/>
      <c r="E87" s="13" t="str">
        <f aca="false">IF(D87="","",IFERROR(INDEX('Reference Tables'!$B$3:$B$8,MATCH(D87,'Reference Tables'!$A$3:$A$8,0)),"Invalid package"))</f>
        <v/>
      </c>
      <c r="F87" s="12" t="str">
        <f aca="false">IF(D87="","",IFERROR(INDEX('Reference Tables'!$C$3:$C$8,MATCH(D87,'Reference Tables'!$A$3:$A$8,0)),"Invalid package"))</f>
        <v/>
      </c>
      <c r="G87" s="14" t="str">
        <f aca="false">IF(E87="","",'Reference Tables'!$C$15)</f>
        <v/>
      </c>
      <c r="H87" s="12" t="str">
        <f aca="false">IF(E87="","",IF(E87&gt;=150,"Yes","No"))</f>
        <v/>
      </c>
      <c r="I87" s="13" t="str">
        <f aca="false">IF(E87="","",IF(H87="Yes",E87*G87,0))</f>
        <v/>
      </c>
      <c r="J87" s="13" t="str">
        <f aca="false">IF(E87="","",E87-I87)</f>
        <v/>
      </c>
      <c r="K87" s="6"/>
      <c r="L87" s="6"/>
    </row>
    <row r="88" customFormat="false" ht="15" hidden="false" customHeight="false" outlineLevel="0" collapsed="false">
      <c r="A88" s="11"/>
      <c r="B88" s="6"/>
      <c r="C88" s="12" t="str">
        <f aca="false">IF(B88="","",IFERROR(INDEX('Gold Registry'!$B$4:$B$103,MATCH(B88,'Gold Registry'!$A$4:$A$103,0)),"Not found"))</f>
        <v/>
      </c>
      <c r="D88" s="6"/>
      <c r="E88" s="13" t="str">
        <f aca="false">IF(D88="","",IFERROR(INDEX('Reference Tables'!$B$3:$B$8,MATCH(D88,'Reference Tables'!$A$3:$A$8,0)),"Invalid package"))</f>
        <v/>
      </c>
      <c r="F88" s="12" t="str">
        <f aca="false">IF(D88="","",IFERROR(INDEX('Reference Tables'!$C$3:$C$8,MATCH(D88,'Reference Tables'!$A$3:$A$8,0)),"Invalid package"))</f>
        <v/>
      </c>
      <c r="G88" s="14" t="str">
        <f aca="false">IF(E88="","",'Reference Tables'!$C$15)</f>
        <v/>
      </c>
      <c r="H88" s="12" t="str">
        <f aca="false">IF(E88="","",IF(E88&gt;=150,"Yes","No"))</f>
        <v/>
      </c>
      <c r="I88" s="13" t="str">
        <f aca="false">IF(E88="","",IF(H88="Yes",E88*G88,0))</f>
        <v/>
      </c>
      <c r="J88" s="13" t="str">
        <f aca="false">IF(E88="","",E88-I88)</f>
        <v/>
      </c>
      <c r="K88" s="6"/>
      <c r="L88" s="6"/>
    </row>
    <row r="89" customFormat="false" ht="15" hidden="false" customHeight="false" outlineLevel="0" collapsed="false">
      <c r="A89" s="11"/>
      <c r="B89" s="6"/>
      <c r="C89" s="12" t="str">
        <f aca="false">IF(B89="","",IFERROR(INDEX('Gold Registry'!$B$4:$B$103,MATCH(B89,'Gold Registry'!$A$4:$A$103,0)),"Not found"))</f>
        <v/>
      </c>
      <c r="D89" s="6"/>
      <c r="E89" s="13" t="str">
        <f aca="false">IF(D89="","",IFERROR(INDEX('Reference Tables'!$B$3:$B$8,MATCH(D89,'Reference Tables'!$A$3:$A$8,0)),"Invalid package"))</f>
        <v/>
      </c>
      <c r="F89" s="12" t="str">
        <f aca="false">IF(D89="","",IFERROR(INDEX('Reference Tables'!$C$3:$C$8,MATCH(D89,'Reference Tables'!$A$3:$A$8,0)),"Invalid package"))</f>
        <v/>
      </c>
      <c r="G89" s="14" t="str">
        <f aca="false">IF(E89="","",'Reference Tables'!$C$15)</f>
        <v/>
      </c>
      <c r="H89" s="12" t="str">
        <f aca="false">IF(E89="","",IF(E89&gt;=150,"Yes","No"))</f>
        <v/>
      </c>
      <c r="I89" s="13" t="str">
        <f aca="false">IF(E89="","",IF(H89="Yes",E89*G89,0))</f>
        <v/>
      </c>
      <c r="J89" s="13" t="str">
        <f aca="false">IF(E89="","",E89-I89)</f>
        <v/>
      </c>
      <c r="K89" s="6"/>
      <c r="L89" s="6"/>
    </row>
    <row r="90" customFormat="false" ht="15" hidden="false" customHeight="false" outlineLevel="0" collapsed="false">
      <c r="A90" s="11"/>
      <c r="B90" s="6"/>
      <c r="C90" s="12" t="str">
        <f aca="false">IF(B90="","",IFERROR(INDEX('Gold Registry'!$B$4:$B$103,MATCH(B90,'Gold Registry'!$A$4:$A$103,0)),"Not found"))</f>
        <v/>
      </c>
      <c r="D90" s="6"/>
      <c r="E90" s="13" t="str">
        <f aca="false">IF(D90="","",IFERROR(INDEX('Reference Tables'!$B$3:$B$8,MATCH(D90,'Reference Tables'!$A$3:$A$8,0)),"Invalid package"))</f>
        <v/>
      </c>
      <c r="F90" s="12" t="str">
        <f aca="false">IF(D90="","",IFERROR(INDEX('Reference Tables'!$C$3:$C$8,MATCH(D90,'Reference Tables'!$A$3:$A$8,0)),"Invalid package"))</f>
        <v/>
      </c>
      <c r="G90" s="14" t="str">
        <f aca="false">IF(E90="","",'Reference Tables'!$C$15)</f>
        <v/>
      </c>
      <c r="H90" s="12" t="str">
        <f aca="false">IF(E90="","",IF(E90&gt;=150,"Yes","No"))</f>
        <v/>
      </c>
      <c r="I90" s="13" t="str">
        <f aca="false">IF(E90="","",IF(H90="Yes",E90*G90,0))</f>
        <v/>
      </c>
      <c r="J90" s="13" t="str">
        <f aca="false">IF(E90="","",E90-I90)</f>
        <v/>
      </c>
      <c r="K90" s="6"/>
      <c r="L90" s="6"/>
    </row>
    <row r="91" customFormat="false" ht="15" hidden="false" customHeight="false" outlineLevel="0" collapsed="false">
      <c r="A91" s="11"/>
      <c r="B91" s="6"/>
      <c r="C91" s="12" t="str">
        <f aca="false">IF(B91="","",IFERROR(INDEX('Gold Registry'!$B$4:$B$103,MATCH(B91,'Gold Registry'!$A$4:$A$103,0)),"Not found"))</f>
        <v/>
      </c>
      <c r="D91" s="6"/>
      <c r="E91" s="13" t="str">
        <f aca="false">IF(D91="","",IFERROR(INDEX('Reference Tables'!$B$3:$B$8,MATCH(D91,'Reference Tables'!$A$3:$A$8,0)),"Invalid package"))</f>
        <v/>
      </c>
      <c r="F91" s="12" t="str">
        <f aca="false">IF(D91="","",IFERROR(INDEX('Reference Tables'!$C$3:$C$8,MATCH(D91,'Reference Tables'!$A$3:$A$8,0)),"Invalid package"))</f>
        <v/>
      </c>
      <c r="G91" s="14" t="str">
        <f aca="false">IF(E91="","",'Reference Tables'!$C$15)</f>
        <v/>
      </c>
      <c r="H91" s="12" t="str">
        <f aca="false">IF(E91="","",IF(E91&gt;=150,"Yes","No"))</f>
        <v/>
      </c>
      <c r="I91" s="13" t="str">
        <f aca="false">IF(E91="","",IF(H91="Yes",E91*G91,0))</f>
        <v/>
      </c>
      <c r="J91" s="13" t="str">
        <f aca="false">IF(E91="","",E91-I91)</f>
        <v/>
      </c>
      <c r="K91" s="6"/>
      <c r="L91" s="6"/>
    </row>
    <row r="92" customFormat="false" ht="15" hidden="false" customHeight="false" outlineLevel="0" collapsed="false">
      <c r="A92" s="11"/>
      <c r="B92" s="6"/>
      <c r="C92" s="12" t="str">
        <f aca="false">IF(B92="","",IFERROR(INDEX('Gold Registry'!$B$4:$B$103,MATCH(B92,'Gold Registry'!$A$4:$A$103,0)),"Not found"))</f>
        <v/>
      </c>
      <c r="D92" s="6"/>
      <c r="E92" s="13" t="str">
        <f aca="false">IF(D92="","",IFERROR(INDEX('Reference Tables'!$B$3:$B$8,MATCH(D92,'Reference Tables'!$A$3:$A$8,0)),"Invalid package"))</f>
        <v/>
      </c>
      <c r="F92" s="12" t="str">
        <f aca="false">IF(D92="","",IFERROR(INDEX('Reference Tables'!$C$3:$C$8,MATCH(D92,'Reference Tables'!$A$3:$A$8,0)),"Invalid package"))</f>
        <v/>
      </c>
      <c r="G92" s="14" t="str">
        <f aca="false">IF(E92="","",'Reference Tables'!$C$15)</f>
        <v/>
      </c>
      <c r="H92" s="12" t="str">
        <f aca="false">IF(E92="","",IF(E92&gt;=150,"Yes","No"))</f>
        <v/>
      </c>
      <c r="I92" s="13" t="str">
        <f aca="false">IF(E92="","",IF(H92="Yes",E92*G92,0))</f>
        <v/>
      </c>
      <c r="J92" s="13" t="str">
        <f aca="false">IF(E92="","",E92-I92)</f>
        <v/>
      </c>
      <c r="K92" s="6"/>
      <c r="L92" s="6"/>
    </row>
    <row r="93" customFormat="false" ht="15" hidden="false" customHeight="false" outlineLevel="0" collapsed="false">
      <c r="A93" s="11"/>
      <c r="B93" s="6"/>
      <c r="C93" s="12" t="str">
        <f aca="false">IF(B93="","",IFERROR(INDEX('Gold Registry'!$B$4:$B$103,MATCH(B93,'Gold Registry'!$A$4:$A$103,0)),"Not found"))</f>
        <v/>
      </c>
      <c r="D93" s="6"/>
      <c r="E93" s="13" t="str">
        <f aca="false">IF(D93="","",IFERROR(INDEX('Reference Tables'!$B$3:$B$8,MATCH(D93,'Reference Tables'!$A$3:$A$8,0)),"Invalid package"))</f>
        <v/>
      </c>
      <c r="F93" s="12" t="str">
        <f aca="false">IF(D93="","",IFERROR(INDEX('Reference Tables'!$C$3:$C$8,MATCH(D93,'Reference Tables'!$A$3:$A$8,0)),"Invalid package"))</f>
        <v/>
      </c>
      <c r="G93" s="14" t="str">
        <f aca="false">IF(E93="","",'Reference Tables'!$C$15)</f>
        <v/>
      </c>
      <c r="H93" s="12" t="str">
        <f aca="false">IF(E93="","",IF(E93&gt;=150,"Yes","No"))</f>
        <v/>
      </c>
      <c r="I93" s="13" t="str">
        <f aca="false">IF(E93="","",IF(H93="Yes",E93*G93,0))</f>
        <v/>
      </c>
      <c r="J93" s="13" t="str">
        <f aca="false">IF(E93="","",E93-I93)</f>
        <v/>
      </c>
      <c r="K93" s="6"/>
      <c r="L93" s="6"/>
    </row>
    <row r="94" customFormat="false" ht="15" hidden="false" customHeight="false" outlineLevel="0" collapsed="false">
      <c r="A94" s="11"/>
      <c r="B94" s="6"/>
      <c r="C94" s="12" t="str">
        <f aca="false">IF(B94="","",IFERROR(INDEX('Gold Registry'!$B$4:$B$103,MATCH(B94,'Gold Registry'!$A$4:$A$103,0)),"Not found"))</f>
        <v/>
      </c>
      <c r="D94" s="6"/>
      <c r="E94" s="13" t="str">
        <f aca="false">IF(D94="","",IFERROR(INDEX('Reference Tables'!$B$3:$B$8,MATCH(D94,'Reference Tables'!$A$3:$A$8,0)),"Invalid package"))</f>
        <v/>
      </c>
      <c r="F94" s="12" t="str">
        <f aca="false">IF(D94="","",IFERROR(INDEX('Reference Tables'!$C$3:$C$8,MATCH(D94,'Reference Tables'!$A$3:$A$8,0)),"Invalid package"))</f>
        <v/>
      </c>
      <c r="G94" s="14" t="str">
        <f aca="false">IF(E94="","",'Reference Tables'!$C$15)</f>
        <v/>
      </c>
      <c r="H94" s="12" t="str">
        <f aca="false">IF(E94="","",IF(E94&gt;=150,"Yes","No"))</f>
        <v/>
      </c>
      <c r="I94" s="13" t="str">
        <f aca="false">IF(E94="","",IF(H94="Yes",E94*G94,0))</f>
        <v/>
      </c>
      <c r="J94" s="13" t="str">
        <f aca="false">IF(E94="","",E94-I94)</f>
        <v/>
      </c>
      <c r="K94" s="6"/>
      <c r="L94" s="6"/>
    </row>
    <row r="95" customFormat="false" ht="15" hidden="false" customHeight="false" outlineLevel="0" collapsed="false">
      <c r="A95" s="11"/>
      <c r="B95" s="6"/>
      <c r="C95" s="12" t="str">
        <f aca="false">IF(B95="","",IFERROR(INDEX('Gold Registry'!$B$4:$B$103,MATCH(B95,'Gold Registry'!$A$4:$A$103,0)),"Not found"))</f>
        <v/>
      </c>
      <c r="D95" s="6"/>
      <c r="E95" s="13" t="str">
        <f aca="false">IF(D95="","",IFERROR(INDEX('Reference Tables'!$B$3:$B$8,MATCH(D95,'Reference Tables'!$A$3:$A$8,0)),"Invalid package"))</f>
        <v/>
      </c>
      <c r="F95" s="12" t="str">
        <f aca="false">IF(D95="","",IFERROR(INDEX('Reference Tables'!$C$3:$C$8,MATCH(D95,'Reference Tables'!$A$3:$A$8,0)),"Invalid package"))</f>
        <v/>
      </c>
      <c r="G95" s="14" t="str">
        <f aca="false">IF(E95="","",'Reference Tables'!$C$15)</f>
        <v/>
      </c>
      <c r="H95" s="12" t="str">
        <f aca="false">IF(E95="","",IF(E95&gt;=150,"Yes","No"))</f>
        <v/>
      </c>
      <c r="I95" s="13" t="str">
        <f aca="false">IF(E95="","",IF(H95="Yes",E95*G95,0))</f>
        <v/>
      </c>
      <c r="J95" s="13" t="str">
        <f aca="false">IF(E95="","",E95-I95)</f>
        <v/>
      </c>
      <c r="K95" s="6"/>
      <c r="L95" s="6"/>
    </row>
    <row r="96" customFormat="false" ht="15" hidden="false" customHeight="false" outlineLevel="0" collapsed="false">
      <c r="A96" s="11"/>
      <c r="B96" s="6"/>
      <c r="C96" s="12" t="str">
        <f aca="false">IF(B96="","",IFERROR(INDEX('Gold Registry'!$B$4:$B$103,MATCH(B96,'Gold Registry'!$A$4:$A$103,0)),"Not found"))</f>
        <v/>
      </c>
      <c r="D96" s="6"/>
      <c r="E96" s="13" t="str">
        <f aca="false">IF(D96="","",IFERROR(INDEX('Reference Tables'!$B$3:$B$8,MATCH(D96,'Reference Tables'!$A$3:$A$8,0)),"Invalid package"))</f>
        <v/>
      </c>
      <c r="F96" s="12" t="str">
        <f aca="false">IF(D96="","",IFERROR(INDEX('Reference Tables'!$C$3:$C$8,MATCH(D96,'Reference Tables'!$A$3:$A$8,0)),"Invalid package"))</f>
        <v/>
      </c>
      <c r="G96" s="14" t="str">
        <f aca="false">IF(E96="","",'Reference Tables'!$C$15)</f>
        <v/>
      </c>
      <c r="H96" s="12" t="str">
        <f aca="false">IF(E96="","",IF(E96&gt;=150,"Yes","No"))</f>
        <v/>
      </c>
      <c r="I96" s="13" t="str">
        <f aca="false">IF(E96="","",IF(H96="Yes",E96*G96,0))</f>
        <v/>
      </c>
      <c r="J96" s="13" t="str">
        <f aca="false">IF(E96="","",E96-I96)</f>
        <v/>
      </c>
      <c r="K96" s="6"/>
      <c r="L96" s="6"/>
    </row>
    <row r="97" customFormat="false" ht="15" hidden="false" customHeight="false" outlineLevel="0" collapsed="false">
      <c r="A97" s="11"/>
      <c r="B97" s="6"/>
      <c r="C97" s="12" t="str">
        <f aca="false">IF(B97="","",IFERROR(INDEX('Gold Registry'!$B$4:$B$103,MATCH(B97,'Gold Registry'!$A$4:$A$103,0)),"Not found"))</f>
        <v/>
      </c>
      <c r="D97" s="6"/>
      <c r="E97" s="13" t="str">
        <f aca="false">IF(D97="","",IFERROR(INDEX('Reference Tables'!$B$3:$B$8,MATCH(D97,'Reference Tables'!$A$3:$A$8,0)),"Invalid package"))</f>
        <v/>
      </c>
      <c r="F97" s="12" t="str">
        <f aca="false">IF(D97="","",IFERROR(INDEX('Reference Tables'!$C$3:$C$8,MATCH(D97,'Reference Tables'!$A$3:$A$8,0)),"Invalid package"))</f>
        <v/>
      </c>
      <c r="G97" s="14" t="str">
        <f aca="false">IF(E97="","",'Reference Tables'!$C$15)</f>
        <v/>
      </c>
      <c r="H97" s="12" t="str">
        <f aca="false">IF(E97="","",IF(E97&gt;=150,"Yes","No"))</f>
        <v/>
      </c>
      <c r="I97" s="13" t="str">
        <f aca="false">IF(E97="","",IF(H97="Yes",E97*G97,0))</f>
        <v/>
      </c>
      <c r="J97" s="13" t="str">
        <f aca="false">IF(E97="","",E97-I97)</f>
        <v/>
      </c>
      <c r="K97" s="6"/>
      <c r="L97" s="6"/>
    </row>
    <row r="98" customFormat="false" ht="15" hidden="false" customHeight="false" outlineLevel="0" collapsed="false">
      <c r="A98" s="11"/>
      <c r="B98" s="6"/>
      <c r="C98" s="12" t="str">
        <f aca="false">IF(B98="","",IFERROR(INDEX('Gold Registry'!$B$4:$B$103,MATCH(B98,'Gold Registry'!$A$4:$A$103,0)),"Not found"))</f>
        <v/>
      </c>
      <c r="D98" s="6"/>
      <c r="E98" s="13" t="str">
        <f aca="false">IF(D98="","",IFERROR(INDEX('Reference Tables'!$B$3:$B$8,MATCH(D98,'Reference Tables'!$A$3:$A$8,0)),"Invalid package"))</f>
        <v/>
      </c>
      <c r="F98" s="12" t="str">
        <f aca="false">IF(D98="","",IFERROR(INDEX('Reference Tables'!$C$3:$C$8,MATCH(D98,'Reference Tables'!$A$3:$A$8,0)),"Invalid package"))</f>
        <v/>
      </c>
      <c r="G98" s="14" t="str">
        <f aca="false">IF(E98="","",'Reference Tables'!$C$15)</f>
        <v/>
      </c>
      <c r="H98" s="12" t="str">
        <f aca="false">IF(E98="","",IF(E98&gt;=150,"Yes","No"))</f>
        <v/>
      </c>
      <c r="I98" s="13" t="str">
        <f aca="false">IF(E98="","",IF(H98="Yes",E98*G98,0))</f>
        <v/>
      </c>
      <c r="J98" s="13" t="str">
        <f aca="false">IF(E98="","",E98-I98)</f>
        <v/>
      </c>
      <c r="K98" s="6"/>
      <c r="L98" s="6"/>
    </row>
    <row r="99" customFormat="false" ht="15" hidden="false" customHeight="false" outlineLevel="0" collapsed="false">
      <c r="A99" s="11"/>
      <c r="B99" s="6"/>
      <c r="C99" s="12" t="str">
        <f aca="false">IF(B99="","",IFERROR(INDEX('Gold Registry'!$B$4:$B$103,MATCH(B99,'Gold Registry'!$A$4:$A$103,0)),"Not found"))</f>
        <v/>
      </c>
      <c r="D99" s="6"/>
      <c r="E99" s="13" t="str">
        <f aca="false">IF(D99="","",IFERROR(INDEX('Reference Tables'!$B$3:$B$8,MATCH(D99,'Reference Tables'!$A$3:$A$8,0)),"Invalid package"))</f>
        <v/>
      </c>
      <c r="F99" s="12" t="str">
        <f aca="false">IF(D99="","",IFERROR(INDEX('Reference Tables'!$C$3:$C$8,MATCH(D99,'Reference Tables'!$A$3:$A$8,0)),"Invalid package"))</f>
        <v/>
      </c>
      <c r="G99" s="14" t="str">
        <f aca="false">IF(E99="","",'Reference Tables'!$C$15)</f>
        <v/>
      </c>
      <c r="H99" s="12" t="str">
        <f aca="false">IF(E99="","",IF(E99&gt;=150,"Yes","No"))</f>
        <v/>
      </c>
      <c r="I99" s="13" t="str">
        <f aca="false">IF(E99="","",IF(H99="Yes",E99*G99,0))</f>
        <v/>
      </c>
      <c r="J99" s="13" t="str">
        <f aca="false">IF(E99="","",E99-I99)</f>
        <v/>
      </c>
      <c r="K99" s="6"/>
      <c r="L99" s="6"/>
    </row>
    <row r="100" customFormat="false" ht="15" hidden="false" customHeight="false" outlineLevel="0" collapsed="false">
      <c r="A100" s="11"/>
      <c r="B100" s="6"/>
      <c r="C100" s="12" t="str">
        <f aca="false">IF(B100="","",IFERROR(INDEX('Gold Registry'!$B$4:$B$103,MATCH(B100,'Gold Registry'!$A$4:$A$103,0)),"Not found"))</f>
        <v/>
      </c>
      <c r="D100" s="6"/>
      <c r="E100" s="13" t="str">
        <f aca="false">IF(D100="","",IFERROR(INDEX('Reference Tables'!$B$3:$B$8,MATCH(D100,'Reference Tables'!$A$3:$A$8,0)),"Invalid package"))</f>
        <v/>
      </c>
      <c r="F100" s="12" t="str">
        <f aca="false">IF(D100="","",IFERROR(INDEX('Reference Tables'!$C$3:$C$8,MATCH(D100,'Reference Tables'!$A$3:$A$8,0)),"Invalid package"))</f>
        <v/>
      </c>
      <c r="G100" s="14" t="str">
        <f aca="false">IF(E100="","",'Reference Tables'!$C$15)</f>
        <v/>
      </c>
      <c r="H100" s="12" t="str">
        <f aca="false">IF(E100="","",IF(E100&gt;=150,"Yes","No"))</f>
        <v/>
      </c>
      <c r="I100" s="13" t="str">
        <f aca="false">IF(E100="","",IF(H100="Yes",E100*G100,0))</f>
        <v/>
      </c>
      <c r="J100" s="13" t="str">
        <f aca="false">IF(E100="","",E100-I100)</f>
        <v/>
      </c>
      <c r="K100" s="6"/>
      <c r="L100" s="6"/>
    </row>
    <row r="101" customFormat="false" ht="15" hidden="false" customHeight="false" outlineLevel="0" collapsed="false">
      <c r="A101" s="11"/>
      <c r="B101" s="6"/>
      <c r="C101" s="12" t="str">
        <f aca="false">IF(B101="","",IFERROR(INDEX('Gold Registry'!$B$4:$B$103,MATCH(B101,'Gold Registry'!$A$4:$A$103,0)),"Not found"))</f>
        <v/>
      </c>
      <c r="D101" s="6"/>
      <c r="E101" s="13" t="str">
        <f aca="false">IF(D101="","",IFERROR(INDEX('Reference Tables'!$B$3:$B$8,MATCH(D101,'Reference Tables'!$A$3:$A$8,0)),"Invalid package"))</f>
        <v/>
      </c>
      <c r="F101" s="12" t="str">
        <f aca="false">IF(D101="","",IFERROR(INDEX('Reference Tables'!$C$3:$C$8,MATCH(D101,'Reference Tables'!$A$3:$A$8,0)),"Invalid package"))</f>
        <v/>
      </c>
      <c r="G101" s="14" t="str">
        <f aca="false">IF(E101="","",'Reference Tables'!$C$15)</f>
        <v/>
      </c>
      <c r="H101" s="12" t="str">
        <f aca="false">IF(E101="","",IF(E101&gt;=150,"Yes","No"))</f>
        <v/>
      </c>
      <c r="I101" s="13" t="str">
        <f aca="false">IF(E101="","",IF(H101="Yes",E101*G101,0))</f>
        <v/>
      </c>
      <c r="J101" s="13" t="str">
        <f aca="false">IF(E101="","",E101-I101)</f>
        <v/>
      </c>
      <c r="K101" s="6"/>
      <c r="L101" s="6"/>
    </row>
    <row r="102" customFormat="false" ht="15" hidden="false" customHeight="false" outlineLevel="0" collapsed="false">
      <c r="A102" s="11"/>
      <c r="B102" s="6"/>
      <c r="C102" s="12" t="str">
        <f aca="false">IF(B102="","",IFERROR(INDEX('Gold Registry'!$B$4:$B$103,MATCH(B102,'Gold Registry'!$A$4:$A$103,0)),"Not found"))</f>
        <v/>
      </c>
      <c r="D102" s="6"/>
      <c r="E102" s="13" t="str">
        <f aca="false">IF(D102="","",IFERROR(INDEX('Reference Tables'!$B$3:$B$8,MATCH(D102,'Reference Tables'!$A$3:$A$8,0)),"Invalid package"))</f>
        <v/>
      </c>
      <c r="F102" s="12" t="str">
        <f aca="false">IF(D102="","",IFERROR(INDEX('Reference Tables'!$C$3:$C$8,MATCH(D102,'Reference Tables'!$A$3:$A$8,0)),"Invalid package"))</f>
        <v/>
      </c>
      <c r="G102" s="14" t="str">
        <f aca="false">IF(E102="","",'Reference Tables'!$C$15)</f>
        <v/>
      </c>
      <c r="H102" s="12" t="str">
        <f aca="false">IF(E102="","",IF(E102&gt;=150,"Yes","No"))</f>
        <v/>
      </c>
      <c r="I102" s="13" t="str">
        <f aca="false">IF(E102="","",IF(H102="Yes",E102*G102,0))</f>
        <v/>
      </c>
      <c r="J102" s="13" t="str">
        <f aca="false">IF(E102="","",E102-I102)</f>
        <v/>
      </c>
      <c r="K102" s="6"/>
      <c r="L102" s="6"/>
    </row>
    <row r="103" customFormat="false" ht="15" hidden="false" customHeight="false" outlineLevel="0" collapsed="false">
      <c r="A103" s="11"/>
      <c r="B103" s="6"/>
      <c r="C103" s="12" t="str">
        <f aca="false">IF(B103="","",IFERROR(INDEX('Gold Registry'!$B$4:$B$103,MATCH(B103,'Gold Registry'!$A$4:$A$103,0)),"Not found"))</f>
        <v/>
      </c>
      <c r="D103" s="6"/>
      <c r="E103" s="13" t="str">
        <f aca="false">IF(D103="","",IFERROR(INDEX('Reference Tables'!$B$3:$B$8,MATCH(D103,'Reference Tables'!$A$3:$A$8,0)),"Invalid package"))</f>
        <v/>
      </c>
      <c r="F103" s="12" t="str">
        <f aca="false">IF(D103="","",IFERROR(INDEX('Reference Tables'!$C$3:$C$8,MATCH(D103,'Reference Tables'!$A$3:$A$8,0)),"Invalid package"))</f>
        <v/>
      </c>
      <c r="G103" s="14" t="str">
        <f aca="false">IF(E103="","",'Reference Tables'!$C$15)</f>
        <v/>
      </c>
      <c r="H103" s="12" t="str">
        <f aca="false">IF(E103="","",IF(E103&gt;=150,"Yes","No"))</f>
        <v/>
      </c>
      <c r="I103" s="13" t="str">
        <f aca="false">IF(E103="","",IF(H103="Yes",E103*G103,0))</f>
        <v/>
      </c>
      <c r="J103" s="13" t="str">
        <f aca="false">IF(E103="","",E103-I103)</f>
        <v/>
      </c>
      <c r="K103" s="6"/>
      <c r="L103" s="6"/>
    </row>
    <row r="104" customFormat="false" ht="15" hidden="false" customHeight="false" outlineLevel="0" collapsed="false">
      <c r="A104" s="11"/>
      <c r="B104" s="6"/>
      <c r="C104" s="12" t="str">
        <f aca="false">IF(B104="","",IFERROR(INDEX('Gold Registry'!$B$4:$B$103,MATCH(B104,'Gold Registry'!$A$4:$A$103,0)),"Not found"))</f>
        <v/>
      </c>
      <c r="D104" s="6"/>
      <c r="E104" s="13" t="str">
        <f aca="false">IF(D104="","",IFERROR(INDEX('Reference Tables'!$B$3:$B$8,MATCH(D104,'Reference Tables'!$A$3:$A$8,0)),"Invalid package"))</f>
        <v/>
      </c>
      <c r="F104" s="12" t="str">
        <f aca="false">IF(D104="","",IFERROR(INDEX('Reference Tables'!$C$3:$C$8,MATCH(D104,'Reference Tables'!$A$3:$A$8,0)),"Invalid package"))</f>
        <v/>
      </c>
      <c r="G104" s="14" t="str">
        <f aca="false">IF(E104="","",'Reference Tables'!$C$15)</f>
        <v/>
      </c>
      <c r="H104" s="12" t="str">
        <f aca="false">IF(E104="","",IF(E104&gt;=150,"Yes","No"))</f>
        <v/>
      </c>
      <c r="I104" s="13" t="str">
        <f aca="false">IF(E104="","",IF(H104="Yes",E104*G104,0))</f>
        <v/>
      </c>
      <c r="J104" s="13" t="str">
        <f aca="false">IF(E104="","",E104-I104)</f>
        <v/>
      </c>
      <c r="K104" s="6"/>
      <c r="L104" s="6"/>
    </row>
    <row r="105" customFormat="false" ht="15" hidden="false" customHeight="false" outlineLevel="0" collapsed="false">
      <c r="A105" s="11"/>
      <c r="B105" s="6"/>
      <c r="C105" s="12" t="str">
        <f aca="false">IF(B105="","",IFERROR(INDEX('Gold Registry'!$B$4:$B$103,MATCH(B105,'Gold Registry'!$A$4:$A$103,0)),"Not found"))</f>
        <v/>
      </c>
      <c r="D105" s="6"/>
      <c r="E105" s="13" t="str">
        <f aca="false">IF(D105="","",IFERROR(INDEX('Reference Tables'!$B$3:$B$8,MATCH(D105,'Reference Tables'!$A$3:$A$8,0)),"Invalid package"))</f>
        <v/>
      </c>
      <c r="F105" s="12" t="str">
        <f aca="false">IF(D105="","",IFERROR(INDEX('Reference Tables'!$C$3:$C$8,MATCH(D105,'Reference Tables'!$A$3:$A$8,0)),"Invalid package"))</f>
        <v/>
      </c>
      <c r="G105" s="14" t="str">
        <f aca="false">IF(E105="","",'Reference Tables'!$C$15)</f>
        <v/>
      </c>
      <c r="H105" s="12" t="str">
        <f aca="false">IF(E105="","",IF(E105&gt;=150,"Yes","No"))</f>
        <v/>
      </c>
      <c r="I105" s="13" t="str">
        <f aca="false">IF(E105="","",IF(H105="Yes",E105*G105,0))</f>
        <v/>
      </c>
      <c r="J105" s="13" t="str">
        <f aca="false">IF(E105="","",E105-I105)</f>
        <v/>
      </c>
      <c r="K105" s="6"/>
      <c r="L105" s="6"/>
    </row>
    <row r="106" customFormat="false" ht="15" hidden="false" customHeight="false" outlineLevel="0" collapsed="false">
      <c r="A106" s="11"/>
      <c r="B106" s="6"/>
      <c r="C106" s="12" t="str">
        <f aca="false">IF(B106="","",IFERROR(INDEX('Gold Registry'!$B$4:$B$103,MATCH(B106,'Gold Registry'!$A$4:$A$103,0)),"Not found"))</f>
        <v/>
      </c>
      <c r="D106" s="6"/>
      <c r="E106" s="13" t="str">
        <f aca="false">IF(D106="","",IFERROR(INDEX('Reference Tables'!$B$3:$B$8,MATCH(D106,'Reference Tables'!$A$3:$A$8,0)),"Invalid package"))</f>
        <v/>
      </c>
      <c r="F106" s="12" t="str">
        <f aca="false">IF(D106="","",IFERROR(INDEX('Reference Tables'!$C$3:$C$8,MATCH(D106,'Reference Tables'!$A$3:$A$8,0)),"Invalid package"))</f>
        <v/>
      </c>
      <c r="G106" s="14" t="str">
        <f aca="false">IF(E106="","",'Reference Tables'!$C$15)</f>
        <v/>
      </c>
      <c r="H106" s="12" t="str">
        <f aca="false">IF(E106="","",IF(E106&gt;=150,"Yes","No"))</f>
        <v/>
      </c>
      <c r="I106" s="13" t="str">
        <f aca="false">IF(E106="","",IF(H106="Yes",E106*G106,0))</f>
        <v/>
      </c>
      <c r="J106" s="13" t="str">
        <f aca="false">IF(E106="","",E106-I106)</f>
        <v/>
      </c>
      <c r="K106" s="6"/>
      <c r="L106" s="6"/>
    </row>
    <row r="107" customFormat="false" ht="15" hidden="false" customHeight="false" outlineLevel="0" collapsed="false">
      <c r="A107" s="11"/>
      <c r="B107" s="6"/>
      <c r="C107" s="12" t="str">
        <f aca="false">IF(B107="","",IFERROR(INDEX('Gold Registry'!$B$4:$B$103,MATCH(B107,'Gold Registry'!$A$4:$A$103,0)),"Not found"))</f>
        <v/>
      </c>
      <c r="D107" s="6"/>
      <c r="E107" s="13" t="str">
        <f aca="false">IF(D107="","",IFERROR(INDEX('Reference Tables'!$B$3:$B$8,MATCH(D107,'Reference Tables'!$A$3:$A$8,0)),"Invalid package"))</f>
        <v/>
      </c>
      <c r="F107" s="12" t="str">
        <f aca="false">IF(D107="","",IFERROR(INDEX('Reference Tables'!$C$3:$C$8,MATCH(D107,'Reference Tables'!$A$3:$A$8,0)),"Invalid package"))</f>
        <v/>
      </c>
      <c r="G107" s="14" t="str">
        <f aca="false">IF(E107="","",'Reference Tables'!$C$15)</f>
        <v/>
      </c>
      <c r="H107" s="12" t="str">
        <f aca="false">IF(E107="","",IF(E107&gt;=150,"Yes","No"))</f>
        <v/>
      </c>
      <c r="I107" s="13" t="str">
        <f aca="false">IF(E107="","",IF(H107="Yes",E107*G107,0))</f>
        <v/>
      </c>
      <c r="J107" s="13" t="str">
        <f aca="false">IF(E107="","",E107-I107)</f>
        <v/>
      </c>
      <c r="K107" s="6"/>
      <c r="L107" s="6"/>
    </row>
    <row r="108" customFormat="false" ht="15" hidden="false" customHeight="false" outlineLevel="0" collapsed="false">
      <c r="A108" s="11"/>
      <c r="B108" s="6"/>
      <c r="C108" s="12" t="str">
        <f aca="false">IF(B108="","",IFERROR(INDEX('Gold Registry'!$B$4:$B$103,MATCH(B108,'Gold Registry'!$A$4:$A$103,0)),"Not found"))</f>
        <v/>
      </c>
      <c r="D108" s="6"/>
      <c r="E108" s="13" t="str">
        <f aca="false">IF(D108="","",IFERROR(INDEX('Reference Tables'!$B$3:$B$8,MATCH(D108,'Reference Tables'!$A$3:$A$8,0)),"Invalid package"))</f>
        <v/>
      </c>
      <c r="F108" s="12" t="str">
        <f aca="false">IF(D108="","",IFERROR(INDEX('Reference Tables'!$C$3:$C$8,MATCH(D108,'Reference Tables'!$A$3:$A$8,0)),"Invalid package"))</f>
        <v/>
      </c>
      <c r="G108" s="14" t="str">
        <f aca="false">IF(E108="","",'Reference Tables'!$C$15)</f>
        <v/>
      </c>
      <c r="H108" s="12" t="str">
        <f aca="false">IF(E108="","",IF(E108&gt;=150,"Yes","No"))</f>
        <v/>
      </c>
      <c r="I108" s="13" t="str">
        <f aca="false">IF(E108="","",IF(H108="Yes",E108*G108,0))</f>
        <v/>
      </c>
      <c r="J108" s="13" t="str">
        <f aca="false">IF(E108="","",E108-I108)</f>
        <v/>
      </c>
      <c r="K108" s="6"/>
      <c r="L108" s="6"/>
    </row>
    <row r="109" customFormat="false" ht="15" hidden="false" customHeight="false" outlineLevel="0" collapsed="false">
      <c r="A109" s="11"/>
      <c r="B109" s="6"/>
      <c r="C109" s="12" t="str">
        <f aca="false">IF(B109="","",IFERROR(INDEX('Gold Registry'!$B$4:$B$103,MATCH(B109,'Gold Registry'!$A$4:$A$103,0)),"Not found"))</f>
        <v/>
      </c>
      <c r="D109" s="6"/>
      <c r="E109" s="13" t="str">
        <f aca="false">IF(D109="","",IFERROR(INDEX('Reference Tables'!$B$3:$B$8,MATCH(D109,'Reference Tables'!$A$3:$A$8,0)),"Invalid package"))</f>
        <v/>
      </c>
      <c r="F109" s="12" t="str">
        <f aca="false">IF(D109="","",IFERROR(INDEX('Reference Tables'!$C$3:$C$8,MATCH(D109,'Reference Tables'!$A$3:$A$8,0)),"Invalid package"))</f>
        <v/>
      </c>
      <c r="G109" s="14" t="str">
        <f aca="false">IF(E109="","",'Reference Tables'!$C$15)</f>
        <v/>
      </c>
      <c r="H109" s="12" t="str">
        <f aca="false">IF(E109="","",IF(E109&gt;=150,"Yes","No"))</f>
        <v/>
      </c>
      <c r="I109" s="13" t="str">
        <f aca="false">IF(E109="","",IF(H109="Yes",E109*G109,0))</f>
        <v/>
      </c>
      <c r="J109" s="13" t="str">
        <f aca="false">IF(E109="","",E109-I109)</f>
        <v/>
      </c>
      <c r="K109" s="6"/>
      <c r="L109" s="6"/>
    </row>
    <row r="110" customFormat="false" ht="15" hidden="false" customHeight="false" outlineLevel="0" collapsed="false">
      <c r="A110" s="11"/>
      <c r="B110" s="6"/>
      <c r="C110" s="12" t="str">
        <f aca="false">IF(B110="","",IFERROR(INDEX('Gold Registry'!$B$4:$B$103,MATCH(B110,'Gold Registry'!$A$4:$A$103,0)),"Not found"))</f>
        <v/>
      </c>
      <c r="D110" s="6"/>
      <c r="E110" s="13" t="str">
        <f aca="false">IF(D110="","",IFERROR(INDEX('Reference Tables'!$B$3:$B$8,MATCH(D110,'Reference Tables'!$A$3:$A$8,0)),"Invalid package"))</f>
        <v/>
      </c>
      <c r="F110" s="12" t="str">
        <f aca="false">IF(D110="","",IFERROR(INDEX('Reference Tables'!$C$3:$C$8,MATCH(D110,'Reference Tables'!$A$3:$A$8,0)),"Invalid package"))</f>
        <v/>
      </c>
      <c r="G110" s="14" t="str">
        <f aca="false">IF(E110="","",'Reference Tables'!$C$15)</f>
        <v/>
      </c>
      <c r="H110" s="12" t="str">
        <f aca="false">IF(E110="","",IF(E110&gt;=150,"Yes","No"))</f>
        <v/>
      </c>
      <c r="I110" s="13" t="str">
        <f aca="false">IF(E110="","",IF(H110="Yes",E110*G110,0))</f>
        <v/>
      </c>
      <c r="J110" s="13" t="str">
        <f aca="false">IF(E110="","",E110-I110)</f>
        <v/>
      </c>
      <c r="K110" s="6"/>
      <c r="L110" s="6"/>
    </row>
    <row r="111" customFormat="false" ht="15" hidden="false" customHeight="false" outlineLevel="0" collapsed="false">
      <c r="A111" s="11"/>
      <c r="B111" s="6"/>
      <c r="C111" s="12" t="str">
        <f aca="false">IF(B111="","",IFERROR(INDEX('Gold Registry'!$B$4:$B$103,MATCH(B111,'Gold Registry'!$A$4:$A$103,0)),"Not found"))</f>
        <v/>
      </c>
      <c r="D111" s="6"/>
      <c r="E111" s="13" t="str">
        <f aca="false">IF(D111="","",IFERROR(INDEX('Reference Tables'!$B$3:$B$8,MATCH(D111,'Reference Tables'!$A$3:$A$8,0)),"Invalid package"))</f>
        <v/>
      </c>
      <c r="F111" s="12" t="str">
        <f aca="false">IF(D111="","",IFERROR(INDEX('Reference Tables'!$C$3:$C$8,MATCH(D111,'Reference Tables'!$A$3:$A$8,0)),"Invalid package"))</f>
        <v/>
      </c>
      <c r="G111" s="14" t="str">
        <f aca="false">IF(E111="","",'Reference Tables'!$C$15)</f>
        <v/>
      </c>
      <c r="H111" s="12" t="str">
        <f aca="false">IF(E111="","",IF(E111&gt;=150,"Yes","No"))</f>
        <v/>
      </c>
      <c r="I111" s="13" t="str">
        <f aca="false">IF(E111="","",IF(H111="Yes",E111*G111,0))</f>
        <v/>
      </c>
      <c r="J111" s="13" t="str">
        <f aca="false">IF(E111="","",E111-I111)</f>
        <v/>
      </c>
      <c r="K111" s="6"/>
      <c r="L111" s="6"/>
    </row>
    <row r="112" customFormat="false" ht="15" hidden="false" customHeight="false" outlineLevel="0" collapsed="false">
      <c r="A112" s="11"/>
      <c r="B112" s="6"/>
      <c r="C112" s="12" t="str">
        <f aca="false">IF(B112="","",IFERROR(INDEX('Gold Registry'!$B$4:$B$103,MATCH(B112,'Gold Registry'!$A$4:$A$103,0)),"Not found"))</f>
        <v/>
      </c>
      <c r="D112" s="6"/>
      <c r="E112" s="13" t="str">
        <f aca="false">IF(D112="","",IFERROR(INDEX('Reference Tables'!$B$3:$B$8,MATCH(D112,'Reference Tables'!$A$3:$A$8,0)),"Invalid package"))</f>
        <v/>
      </c>
      <c r="F112" s="12" t="str">
        <f aca="false">IF(D112="","",IFERROR(INDEX('Reference Tables'!$C$3:$C$8,MATCH(D112,'Reference Tables'!$A$3:$A$8,0)),"Invalid package"))</f>
        <v/>
      </c>
      <c r="G112" s="14" t="str">
        <f aca="false">IF(E112="","",'Reference Tables'!$C$15)</f>
        <v/>
      </c>
      <c r="H112" s="12" t="str">
        <f aca="false">IF(E112="","",IF(E112&gt;=150,"Yes","No"))</f>
        <v/>
      </c>
      <c r="I112" s="13" t="str">
        <f aca="false">IF(E112="","",IF(H112="Yes",E112*G112,0))</f>
        <v/>
      </c>
      <c r="J112" s="13" t="str">
        <f aca="false">IF(E112="","",E112-I112)</f>
        <v/>
      </c>
      <c r="K112" s="6"/>
      <c r="L112" s="6"/>
    </row>
    <row r="113" customFormat="false" ht="15" hidden="false" customHeight="false" outlineLevel="0" collapsed="false">
      <c r="A113" s="11"/>
      <c r="B113" s="6"/>
      <c r="C113" s="12" t="str">
        <f aca="false">IF(B113="","",IFERROR(INDEX('Gold Registry'!$B$4:$B$103,MATCH(B113,'Gold Registry'!$A$4:$A$103,0)),"Not found"))</f>
        <v/>
      </c>
      <c r="D113" s="6"/>
      <c r="E113" s="13" t="str">
        <f aca="false">IF(D113="","",IFERROR(INDEX('Reference Tables'!$B$3:$B$8,MATCH(D113,'Reference Tables'!$A$3:$A$8,0)),"Invalid package"))</f>
        <v/>
      </c>
      <c r="F113" s="12" t="str">
        <f aca="false">IF(D113="","",IFERROR(INDEX('Reference Tables'!$C$3:$C$8,MATCH(D113,'Reference Tables'!$A$3:$A$8,0)),"Invalid package"))</f>
        <v/>
      </c>
      <c r="G113" s="14" t="str">
        <f aca="false">IF(E113="","",'Reference Tables'!$C$15)</f>
        <v/>
      </c>
      <c r="H113" s="12" t="str">
        <f aca="false">IF(E113="","",IF(E113&gt;=150,"Yes","No"))</f>
        <v/>
      </c>
      <c r="I113" s="13" t="str">
        <f aca="false">IF(E113="","",IF(H113="Yes",E113*G113,0))</f>
        <v/>
      </c>
      <c r="J113" s="13" t="str">
        <f aca="false">IF(E113="","",E113-I113)</f>
        <v/>
      </c>
      <c r="K113" s="6"/>
      <c r="L113" s="6"/>
    </row>
    <row r="114" customFormat="false" ht="15" hidden="false" customHeight="false" outlineLevel="0" collapsed="false">
      <c r="A114" s="11"/>
      <c r="B114" s="6"/>
      <c r="C114" s="12" t="str">
        <f aca="false">IF(B114="","",IFERROR(INDEX('Gold Registry'!$B$4:$B$103,MATCH(B114,'Gold Registry'!$A$4:$A$103,0)),"Not found"))</f>
        <v/>
      </c>
      <c r="D114" s="6"/>
      <c r="E114" s="13" t="str">
        <f aca="false">IF(D114="","",IFERROR(INDEX('Reference Tables'!$B$3:$B$8,MATCH(D114,'Reference Tables'!$A$3:$A$8,0)),"Invalid package"))</f>
        <v/>
      </c>
      <c r="F114" s="12" t="str">
        <f aca="false">IF(D114="","",IFERROR(INDEX('Reference Tables'!$C$3:$C$8,MATCH(D114,'Reference Tables'!$A$3:$A$8,0)),"Invalid package"))</f>
        <v/>
      </c>
      <c r="G114" s="14" t="str">
        <f aca="false">IF(E114="","",'Reference Tables'!$C$15)</f>
        <v/>
      </c>
      <c r="H114" s="12" t="str">
        <f aca="false">IF(E114="","",IF(E114&gt;=150,"Yes","No"))</f>
        <v/>
      </c>
      <c r="I114" s="13" t="str">
        <f aca="false">IF(E114="","",IF(H114="Yes",E114*G114,0))</f>
        <v/>
      </c>
      <c r="J114" s="13" t="str">
        <f aca="false">IF(E114="","",E114-I114)</f>
        <v/>
      </c>
      <c r="K114" s="6"/>
      <c r="L114" s="6"/>
    </row>
    <row r="115" customFormat="false" ht="15" hidden="false" customHeight="false" outlineLevel="0" collapsed="false">
      <c r="A115" s="11"/>
      <c r="B115" s="6"/>
      <c r="C115" s="12" t="str">
        <f aca="false">IF(B115="","",IFERROR(INDEX('Gold Registry'!$B$4:$B$103,MATCH(B115,'Gold Registry'!$A$4:$A$103,0)),"Not found"))</f>
        <v/>
      </c>
      <c r="D115" s="6"/>
      <c r="E115" s="13" t="str">
        <f aca="false">IF(D115="","",IFERROR(INDEX('Reference Tables'!$B$3:$B$8,MATCH(D115,'Reference Tables'!$A$3:$A$8,0)),"Invalid package"))</f>
        <v/>
      </c>
      <c r="F115" s="12" t="str">
        <f aca="false">IF(D115="","",IFERROR(INDEX('Reference Tables'!$C$3:$C$8,MATCH(D115,'Reference Tables'!$A$3:$A$8,0)),"Invalid package"))</f>
        <v/>
      </c>
      <c r="G115" s="14" t="str">
        <f aca="false">IF(E115="","",'Reference Tables'!$C$15)</f>
        <v/>
      </c>
      <c r="H115" s="12" t="str">
        <f aca="false">IF(E115="","",IF(E115&gt;=150,"Yes","No"))</f>
        <v/>
      </c>
      <c r="I115" s="13" t="str">
        <f aca="false">IF(E115="","",IF(H115="Yes",E115*G115,0))</f>
        <v/>
      </c>
      <c r="J115" s="13" t="str">
        <f aca="false">IF(E115="","",E115-I115)</f>
        <v/>
      </c>
      <c r="K115" s="6"/>
      <c r="L115" s="6"/>
    </row>
    <row r="116" customFormat="false" ht="15" hidden="false" customHeight="false" outlineLevel="0" collapsed="false">
      <c r="A116" s="11"/>
      <c r="B116" s="6"/>
      <c r="C116" s="12" t="str">
        <f aca="false">IF(B116="","",IFERROR(INDEX('Gold Registry'!$B$4:$B$103,MATCH(B116,'Gold Registry'!$A$4:$A$103,0)),"Not found"))</f>
        <v/>
      </c>
      <c r="D116" s="6"/>
      <c r="E116" s="13" t="str">
        <f aca="false">IF(D116="","",IFERROR(INDEX('Reference Tables'!$B$3:$B$8,MATCH(D116,'Reference Tables'!$A$3:$A$8,0)),"Invalid package"))</f>
        <v/>
      </c>
      <c r="F116" s="12" t="str">
        <f aca="false">IF(D116="","",IFERROR(INDEX('Reference Tables'!$C$3:$C$8,MATCH(D116,'Reference Tables'!$A$3:$A$8,0)),"Invalid package"))</f>
        <v/>
      </c>
      <c r="G116" s="14" t="str">
        <f aca="false">IF(E116="","",'Reference Tables'!$C$15)</f>
        <v/>
      </c>
      <c r="H116" s="12" t="str">
        <f aca="false">IF(E116="","",IF(E116&gt;=150,"Yes","No"))</f>
        <v/>
      </c>
      <c r="I116" s="13" t="str">
        <f aca="false">IF(E116="","",IF(H116="Yes",E116*G116,0))</f>
        <v/>
      </c>
      <c r="J116" s="13" t="str">
        <f aca="false">IF(E116="","",E116-I116)</f>
        <v/>
      </c>
      <c r="K116" s="6"/>
      <c r="L116" s="6"/>
    </row>
    <row r="117" customFormat="false" ht="15" hidden="false" customHeight="false" outlineLevel="0" collapsed="false">
      <c r="A117" s="11"/>
      <c r="B117" s="6"/>
      <c r="C117" s="12" t="str">
        <f aca="false">IF(B117="","",IFERROR(INDEX('Gold Registry'!$B$4:$B$103,MATCH(B117,'Gold Registry'!$A$4:$A$103,0)),"Not found"))</f>
        <v/>
      </c>
      <c r="D117" s="6"/>
      <c r="E117" s="13" t="str">
        <f aca="false">IF(D117="","",IFERROR(INDEX('Reference Tables'!$B$3:$B$8,MATCH(D117,'Reference Tables'!$A$3:$A$8,0)),"Invalid package"))</f>
        <v/>
      </c>
      <c r="F117" s="12" t="str">
        <f aca="false">IF(D117="","",IFERROR(INDEX('Reference Tables'!$C$3:$C$8,MATCH(D117,'Reference Tables'!$A$3:$A$8,0)),"Invalid package"))</f>
        <v/>
      </c>
      <c r="G117" s="14" t="str">
        <f aca="false">IF(E117="","",'Reference Tables'!$C$15)</f>
        <v/>
      </c>
      <c r="H117" s="12" t="str">
        <f aca="false">IF(E117="","",IF(E117&gt;=150,"Yes","No"))</f>
        <v/>
      </c>
      <c r="I117" s="13" t="str">
        <f aca="false">IF(E117="","",IF(H117="Yes",E117*G117,0))</f>
        <v/>
      </c>
      <c r="J117" s="13" t="str">
        <f aca="false">IF(E117="","",E117-I117)</f>
        <v/>
      </c>
      <c r="K117" s="6"/>
      <c r="L117" s="6"/>
    </row>
    <row r="118" customFormat="false" ht="15" hidden="false" customHeight="false" outlineLevel="0" collapsed="false">
      <c r="A118" s="11"/>
      <c r="B118" s="6"/>
      <c r="C118" s="12" t="str">
        <f aca="false">IF(B118="","",IFERROR(INDEX('Gold Registry'!$B$4:$B$103,MATCH(B118,'Gold Registry'!$A$4:$A$103,0)),"Not found"))</f>
        <v/>
      </c>
      <c r="D118" s="6"/>
      <c r="E118" s="13" t="str">
        <f aca="false">IF(D118="","",IFERROR(INDEX('Reference Tables'!$B$3:$B$8,MATCH(D118,'Reference Tables'!$A$3:$A$8,0)),"Invalid package"))</f>
        <v/>
      </c>
      <c r="F118" s="12" t="str">
        <f aca="false">IF(D118="","",IFERROR(INDEX('Reference Tables'!$C$3:$C$8,MATCH(D118,'Reference Tables'!$A$3:$A$8,0)),"Invalid package"))</f>
        <v/>
      </c>
      <c r="G118" s="14" t="str">
        <f aca="false">IF(E118="","",'Reference Tables'!$C$15)</f>
        <v/>
      </c>
      <c r="H118" s="12" t="str">
        <f aca="false">IF(E118="","",IF(E118&gt;=150,"Yes","No"))</f>
        <v/>
      </c>
      <c r="I118" s="13" t="str">
        <f aca="false">IF(E118="","",IF(H118="Yes",E118*G118,0))</f>
        <v/>
      </c>
      <c r="J118" s="13" t="str">
        <f aca="false">IF(E118="","",E118-I118)</f>
        <v/>
      </c>
      <c r="K118" s="6"/>
      <c r="L118" s="6"/>
    </row>
    <row r="119" customFormat="false" ht="15" hidden="false" customHeight="false" outlineLevel="0" collapsed="false">
      <c r="A119" s="11"/>
      <c r="B119" s="6"/>
      <c r="C119" s="12" t="str">
        <f aca="false">IF(B119="","",IFERROR(INDEX('Gold Registry'!$B$4:$B$103,MATCH(B119,'Gold Registry'!$A$4:$A$103,0)),"Not found"))</f>
        <v/>
      </c>
      <c r="D119" s="6"/>
      <c r="E119" s="13" t="str">
        <f aca="false">IF(D119="","",IFERROR(INDEX('Reference Tables'!$B$3:$B$8,MATCH(D119,'Reference Tables'!$A$3:$A$8,0)),"Invalid package"))</f>
        <v/>
      </c>
      <c r="F119" s="12" t="str">
        <f aca="false">IF(D119="","",IFERROR(INDEX('Reference Tables'!$C$3:$C$8,MATCH(D119,'Reference Tables'!$A$3:$A$8,0)),"Invalid package"))</f>
        <v/>
      </c>
      <c r="G119" s="14" t="str">
        <f aca="false">IF(E119="","",'Reference Tables'!$C$15)</f>
        <v/>
      </c>
      <c r="H119" s="12" t="str">
        <f aca="false">IF(E119="","",IF(E119&gt;=150,"Yes","No"))</f>
        <v/>
      </c>
      <c r="I119" s="13" t="str">
        <f aca="false">IF(E119="","",IF(H119="Yes",E119*G119,0))</f>
        <v/>
      </c>
      <c r="J119" s="13" t="str">
        <f aca="false">IF(E119="","",E119-I119)</f>
        <v/>
      </c>
      <c r="K119" s="6"/>
      <c r="L119" s="6"/>
    </row>
    <row r="120" customFormat="false" ht="15" hidden="false" customHeight="false" outlineLevel="0" collapsed="false">
      <c r="A120" s="11"/>
      <c r="B120" s="6"/>
      <c r="C120" s="12" t="str">
        <f aca="false">IF(B120="","",IFERROR(INDEX('Gold Registry'!$B$4:$B$103,MATCH(B120,'Gold Registry'!$A$4:$A$103,0)),"Not found"))</f>
        <v/>
      </c>
      <c r="D120" s="6"/>
      <c r="E120" s="13" t="str">
        <f aca="false">IF(D120="","",IFERROR(INDEX('Reference Tables'!$B$3:$B$8,MATCH(D120,'Reference Tables'!$A$3:$A$8,0)),"Invalid package"))</f>
        <v/>
      </c>
      <c r="F120" s="12" t="str">
        <f aca="false">IF(D120="","",IFERROR(INDEX('Reference Tables'!$C$3:$C$8,MATCH(D120,'Reference Tables'!$A$3:$A$8,0)),"Invalid package"))</f>
        <v/>
      </c>
      <c r="G120" s="14" t="str">
        <f aca="false">IF(E120="","",'Reference Tables'!$C$15)</f>
        <v/>
      </c>
      <c r="H120" s="12" t="str">
        <f aca="false">IF(E120="","",IF(E120&gt;=150,"Yes","No"))</f>
        <v/>
      </c>
      <c r="I120" s="13" t="str">
        <f aca="false">IF(E120="","",IF(H120="Yes",E120*G120,0))</f>
        <v/>
      </c>
      <c r="J120" s="13" t="str">
        <f aca="false">IF(E120="","",E120-I120)</f>
        <v/>
      </c>
      <c r="K120" s="6"/>
      <c r="L120" s="6"/>
    </row>
    <row r="121" customFormat="false" ht="15" hidden="false" customHeight="false" outlineLevel="0" collapsed="false">
      <c r="A121" s="11"/>
      <c r="B121" s="6"/>
      <c r="C121" s="12" t="str">
        <f aca="false">IF(B121="","",IFERROR(INDEX('Gold Registry'!$B$4:$B$103,MATCH(B121,'Gold Registry'!$A$4:$A$103,0)),"Not found"))</f>
        <v/>
      </c>
      <c r="D121" s="6"/>
      <c r="E121" s="13" t="str">
        <f aca="false">IF(D121="","",IFERROR(INDEX('Reference Tables'!$B$3:$B$8,MATCH(D121,'Reference Tables'!$A$3:$A$8,0)),"Invalid package"))</f>
        <v/>
      </c>
      <c r="F121" s="12" t="str">
        <f aca="false">IF(D121="","",IFERROR(INDEX('Reference Tables'!$C$3:$C$8,MATCH(D121,'Reference Tables'!$A$3:$A$8,0)),"Invalid package"))</f>
        <v/>
      </c>
      <c r="G121" s="14" t="str">
        <f aca="false">IF(E121="","",'Reference Tables'!$C$15)</f>
        <v/>
      </c>
      <c r="H121" s="12" t="str">
        <f aca="false">IF(E121="","",IF(E121&gt;=150,"Yes","No"))</f>
        <v/>
      </c>
      <c r="I121" s="13" t="str">
        <f aca="false">IF(E121="","",IF(H121="Yes",E121*G121,0))</f>
        <v/>
      </c>
      <c r="J121" s="13" t="str">
        <f aca="false">IF(E121="","",E121-I121)</f>
        <v/>
      </c>
      <c r="K121" s="6"/>
      <c r="L121" s="6"/>
    </row>
    <row r="122" customFormat="false" ht="15" hidden="false" customHeight="false" outlineLevel="0" collapsed="false">
      <c r="A122" s="11"/>
      <c r="B122" s="6"/>
      <c r="C122" s="12" t="str">
        <f aca="false">IF(B122="","",IFERROR(INDEX('Gold Registry'!$B$4:$B$103,MATCH(B122,'Gold Registry'!$A$4:$A$103,0)),"Not found"))</f>
        <v/>
      </c>
      <c r="D122" s="6"/>
      <c r="E122" s="13" t="str">
        <f aca="false">IF(D122="","",IFERROR(INDEX('Reference Tables'!$B$3:$B$8,MATCH(D122,'Reference Tables'!$A$3:$A$8,0)),"Invalid package"))</f>
        <v/>
      </c>
      <c r="F122" s="12" t="str">
        <f aca="false">IF(D122="","",IFERROR(INDEX('Reference Tables'!$C$3:$C$8,MATCH(D122,'Reference Tables'!$A$3:$A$8,0)),"Invalid package"))</f>
        <v/>
      </c>
      <c r="G122" s="14" t="str">
        <f aca="false">IF(E122="","",'Reference Tables'!$C$15)</f>
        <v/>
      </c>
      <c r="H122" s="12" t="str">
        <f aca="false">IF(E122="","",IF(E122&gt;=150,"Yes","No"))</f>
        <v/>
      </c>
      <c r="I122" s="13" t="str">
        <f aca="false">IF(E122="","",IF(H122="Yes",E122*G122,0))</f>
        <v/>
      </c>
      <c r="J122" s="13" t="str">
        <f aca="false">IF(E122="","",E122-I122)</f>
        <v/>
      </c>
      <c r="K122" s="6"/>
      <c r="L122" s="6"/>
    </row>
    <row r="123" customFormat="false" ht="15" hidden="false" customHeight="false" outlineLevel="0" collapsed="false">
      <c r="A123" s="11"/>
      <c r="B123" s="6"/>
      <c r="C123" s="12" t="str">
        <f aca="false">IF(B123="","",IFERROR(INDEX('Gold Registry'!$B$4:$B$103,MATCH(B123,'Gold Registry'!$A$4:$A$103,0)),"Not found"))</f>
        <v/>
      </c>
      <c r="D123" s="6"/>
      <c r="E123" s="13" t="str">
        <f aca="false">IF(D123="","",IFERROR(INDEX('Reference Tables'!$B$3:$B$8,MATCH(D123,'Reference Tables'!$A$3:$A$8,0)),"Invalid package"))</f>
        <v/>
      </c>
      <c r="F123" s="12" t="str">
        <f aca="false">IF(D123="","",IFERROR(INDEX('Reference Tables'!$C$3:$C$8,MATCH(D123,'Reference Tables'!$A$3:$A$8,0)),"Invalid package"))</f>
        <v/>
      </c>
      <c r="G123" s="14" t="str">
        <f aca="false">IF(E123="","",'Reference Tables'!$C$15)</f>
        <v/>
      </c>
      <c r="H123" s="12" t="str">
        <f aca="false">IF(E123="","",IF(E123&gt;=150,"Yes","No"))</f>
        <v/>
      </c>
      <c r="I123" s="13" t="str">
        <f aca="false">IF(E123="","",IF(H123="Yes",E123*G123,0))</f>
        <v/>
      </c>
      <c r="J123" s="13" t="str">
        <f aca="false">IF(E123="","",E123-I123)</f>
        <v/>
      </c>
      <c r="K123" s="6"/>
      <c r="L123" s="6"/>
    </row>
    <row r="124" customFormat="false" ht="15" hidden="false" customHeight="false" outlineLevel="0" collapsed="false">
      <c r="A124" s="11"/>
      <c r="B124" s="6"/>
      <c r="C124" s="12" t="str">
        <f aca="false">IF(B124="","",IFERROR(INDEX('Gold Registry'!$B$4:$B$103,MATCH(B124,'Gold Registry'!$A$4:$A$103,0)),"Not found"))</f>
        <v/>
      </c>
      <c r="D124" s="6"/>
      <c r="E124" s="13" t="str">
        <f aca="false">IF(D124="","",IFERROR(INDEX('Reference Tables'!$B$3:$B$8,MATCH(D124,'Reference Tables'!$A$3:$A$8,0)),"Invalid package"))</f>
        <v/>
      </c>
      <c r="F124" s="12" t="str">
        <f aca="false">IF(D124="","",IFERROR(INDEX('Reference Tables'!$C$3:$C$8,MATCH(D124,'Reference Tables'!$A$3:$A$8,0)),"Invalid package"))</f>
        <v/>
      </c>
      <c r="G124" s="14" t="str">
        <f aca="false">IF(E124="","",'Reference Tables'!$C$15)</f>
        <v/>
      </c>
      <c r="H124" s="12" t="str">
        <f aca="false">IF(E124="","",IF(E124&gt;=150,"Yes","No"))</f>
        <v/>
      </c>
      <c r="I124" s="13" t="str">
        <f aca="false">IF(E124="","",IF(H124="Yes",E124*G124,0))</f>
        <v/>
      </c>
      <c r="J124" s="13" t="str">
        <f aca="false">IF(E124="","",E124-I124)</f>
        <v/>
      </c>
      <c r="K124" s="6"/>
      <c r="L124" s="6"/>
    </row>
    <row r="125" customFormat="false" ht="15" hidden="false" customHeight="false" outlineLevel="0" collapsed="false">
      <c r="A125" s="11"/>
      <c r="B125" s="6"/>
      <c r="C125" s="12" t="str">
        <f aca="false">IF(B125="","",IFERROR(INDEX('Gold Registry'!$B$4:$B$103,MATCH(B125,'Gold Registry'!$A$4:$A$103,0)),"Not found"))</f>
        <v/>
      </c>
      <c r="D125" s="6"/>
      <c r="E125" s="13" t="str">
        <f aca="false">IF(D125="","",IFERROR(INDEX('Reference Tables'!$B$3:$B$8,MATCH(D125,'Reference Tables'!$A$3:$A$8,0)),"Invalid package"))</f>
        <v/>
      </c>
      <c r="F125" s="12" t="str">
        <f aca="false">IF(D125="","",IFERROR(INDEX('Reference Tables'!$C$3:$C$8,MATCH(D125,'Reference Tables'!$A$3:$A$8,0)),"Invalid package"))</f>
        <v/>
      </c>
      <c r="G125" s="14" t="str">
        <f aca="false">IF(E125="","",'Reference Tables'!$C$15)</f>
        <v/>
      </c>
      <c r="H125" s="12" t="str">
        <f aca="false">IF(E125="","",IF(E125&gt;=150,"Yes","No"))</f>
        <v/>
      </c>
      <c r="I125" s="13" t="str">
        <f aca="false">IF(E125="","",IF(H125="Yes",E125*G125,0))</f>
        <v/>
      </c>
      <c r="J125" s="13" t="str">
        <f aca="false">IF(E125="","",E125-I125)</f>
        <v/>
      </c>
      <c r="K125" s="6"/>
      <c r="L125" s="6"/>
    </row>
    <row r="126" customFormat="false" ht="15" hidden="false" customHeight="false" outlineLevel="0" collapsed="false">
      <c r="A126" s="11"/>
      <c r="B126" s="6"/>
      <c r="C126" s="12" t="str">
        <f aca="false">IF(B126="","",IFERROR(INDEX('Gold Registry'!$B$4:$B$103,MATCH(B126,'Gold Registry'!$A$4:$A$103,0)),"Not found"))</f>
        <v/>
      </c>
      <c r="D126" s="6"/>
      <c r="E126" s="13" t="str">
        <f aca="false">IF(D126="","",IFERROR(INDEX('Reference Tables'!$B$3:$B$8,MATCH(D126,'Reference Tables'!$A$3:$A$8,0)),"Invalid package"))</f>
        <v/>
      </c>
      <c r="F126" s="12" t="str">
        <f aca="false">IF(D126="","",IFERROR(INDEX('Reference Tables'!$C$3:$C$8,MATCH(D126,'Reference Tables'!$A$3:$A$8,0)),"Invalid package"))</f>
        <v/>
      </c>
      <c r="G126" s="14" t="str">
        <f aca="false">IF(E126="","",'Reference Tables'!$C$15)</f>
        <v/>
      </c>
      <c r="H126" s="12" t="str">
        <f aca="false">IF(E126="","",IF(E126&gt;=150,"Yes","No"))</f>
        <v/>
      </c>
      <c r="I126" s="13" t="str">
        <f aca="false">IF(E126="","",IF(H126="Yes",E126*G126,0))</f>
        <v/>
      </c>
      <c r="J126" s="13" t="str">
        <f aca="false">IF(E126="","",E126-I126)</f>
        <v/>
      </c>
      <c r="K126" s="6"/>
      <c r="L126" s="6"/>
    </row>
    <row r="127" customFormat="false" ht="15" hidden="false" customHeight="false" outlineLevel="0" collapsed="false">
      <c r="A127" s="11"/>
      <c r="B127" s="6"/>
      <c r="C127" s="12" t="str">
        <f aca="false">IF(B127="","",IFERROR(INDEX('Gold Registry'!$B$4:$B$103,MATCH(B127,'Gold Registry'!$A$4:$A$103,0)),"Not found"))</f>
        <v/>
      </c>
      <c r="D127" s="6"/>
      <c r="E127" s="13" t="str">
        <f aca="false">IF(D127="","",IFERROR(INDEX('Reference Tables'!$B$3:$B$8,MATCH(D127,'Reference Tables'!$A$3:$A$8,0)),"Invalid package"))</f>
        <v/>
      </c>
      <c r="F127" s="12" t="str">
        <f aca="false">IF(D127="","",IFERROR(INDEX('Reference Tables'!$C$3:$C$8,MATCH(D127,'Reference Tables'!$A$3:$A$8,0)),"Invalid package"))</f>
        <v/>
      </c>
      <c r="G127" s="14" t="str">
        <f aca="false">IF(E127="","",'Reference Tables'!$C$15)</f>
        <v/>
      </c>
      <c r="H127" s="12" t="str">
        <f aca="false">IF(E127="","",IF(E127&gt;=150,"Yes","No"))</f>
        <v/>
      </c>
      <c r="I127" s="13" t="str">
        <f aca="false">IF(E127="","",IF(H127="Yes",E127*G127,0))</f>
        <v/>
      </c>
      <c r="J127" s="13" t="str">
        <f aca="false">IF(E127="","",E127-I127)</f>
        <v/>
      </c>
      <c r="K127" s="6"/>
      <c r="L127" s="6"/>
    </row>
    <row r="128" customFormat="false" ht="15" hidden="false" customHeight="false" outlineLevel="0" collapsed="false">
      <c r="A128" s="11"/>
      <c r="B128" s="6"/>
      <c r="C128" s="12" t="str">
        <f aca="false">IF(B128="","",IFERROR(INDEX('Gold Registry'!$B$4:$B$103,MATCH(B128,'Gold Registry'!$A$4:$A$103,0)),"Not found"))</f>
        <v/>
      </c>
      <c r="D128" s="6"/>
      <c r="E128" s="13" t="str">
        <f aca="false">IF(D128="","",IFERROR(INDEX('Reference Tables'!$B$3:$B$8,MATCH(D128,'Reference Tables'!$A$3:$A$8,0)),"Invalid package"))</f>
        <v/>
      </c>
      <c r="F128" s="12" t="str">
        <f aca="false">IF(D128="","",IFERROR(INDEX('Reference Tables'!$C$3:$C$8,MATCH(D128,'Reference Tables'!$A$3:$A$8,0)),"Invalid package"))</f>
        <v/>
      </c>
      <c r="G128" s="14" t="str">
        <f aca="false">IF(E128="","",'Reference Tables'!$C$15)</f>
        <v/>
      </c>
      <c r="H128" s="12" t="str">
        <f aca="false">IF(E128="","",IF(E128&gt;=150,"Yes","No"))</f>
        <v/>
      </c>
      <c r="I128" s="13" t="str">
        <f aca="false">IF(E128="","",IF(H128="Yes",E128*G128,0))</f>
        <v/>
      </c>
      <c r="J128" s="13" t="str">
        <f aca="false">IF(E128="","",E128-I128)</f>
        <v/>
      </c>
      <c r="K128" s="6"/>
      <c r="L128" s="6"/>
    </row>
    <row r="129" customFormat="false" ht="15" hidden="false" customHeight="false" outlineLevel="0" collapsed="false">
      <c r="A129" s="11"/>
      <c r="B129" s="6"/>
      <c r="C129" s="12" t="str">
        <f aca="false">IF(B129="","",IFERROR(INDEX('Gold Registry'!$B$4:$B$103,MATCH(B129,'Gold Registry'!$A$4:$A$103,0)),"Not found"))</f>
        <v/>
      </c>
      <c r="D129" s="6"/>
      <c r="E129" s="13" t="str">
        <f aca="false">IF(D129="","",IFERROR(INDEX('Reference Tables'!$B$3:$B$8,MATCH(D129,'Reference Tables'!$A$3:$A$8,0)),"Invalid package"))</f>
        <v/>
      </c>
      <c r="F129" s="12" t="str">
        <f aca="false">IF(D129="","",IFERROR(INDEX('Reference Tables'!$C$3:$C$8,MATCH(D129,'Reference Tables'!$A$3:$A$8,0)),"Invalid package"))</f>
        <v/>
      </c>
      <c r="G129" s="14" t="str">
        <f aca="false">IF(E129="","",'Reference Tables'!$C$15)</f>
        <v/>
      </c>
      <c r="H129" s="12" t="str">
        <f aca="false">IF(E129="","",IF(E129&gt;=150,"Yes","No"))</f>
        <v/>
      </c>
      <c r="I129" s="13" t="str">
        <f aca="false">IF(E129="","",IF(H129="Yes",E129*G129,0))</f>
        <v/>
      </c>
      <c r="J129" s="13" t="str">
        <f aca="false">IF(E129="","",E129-I129)</f>
        <v/>
      </c>
      <c r="K129" s="6"/>
      <c r="L129" s="6"/>
    </row>
    <row r="130" customFormat="false" ht="15" hidden="false" customHeight="false" outlineLevel="0" collapsed="false">
      <c r="A130" s="11"/>
      <c r="B130" s="6"/>
      <c r="C130" s="12" t="str">
        <f aca="false">IF(B130="","",IFERROR(INDEX('Gold Registry'!$B$4:$B$103,MATCH(B130,'Gold Registry'!$A$4:$A$103,0)),"Not found"))</f>
        <v/>
      </c>
      <c r="D130" s="6"/>
      <c r="E130" s="13" t="str">
        <f aca="false">IF(D130="","",IFERROR(INDEX('Reference Tables'!$B$3:$B$8,MATCH(D130,'Reference Tables'!$A$3:$A$8,0)),"Invalid package"))</f>
        <v/>
      </c>
      <c r="F130" s="12" t="str">
        <f aca="false">IF(D130="","",IFERROR(INDEX('Reference Tables'!$C$3:$C$8,MATCH(D130,'Reference Tables'!$A$3:$A$8,0)),"Invalid package"))</f>
        <v/>
      </c>
      <c r="G130" s="14" t="str">
        <f aca="false">IF(E130="","",'Reference Tables'!$C$15)</f>
        <v/>
      </c>
      <c r="H130" s="12" t="str">
        <f aca="false">IF(E130="","",IF(E130&gt;=150,"Yes","No"))</f>
        <v/>
      </c>
      <c r="I130" s="13" t="str">
        <f aca="false">IF(E130="","",IF(H130="Yes",E130*G130,0))</f>
        <v/>
      </c>
      <c r="J130" s="13" t="str">
        <f aca="false">IF(E130="","",E130-I130)</f>
        <v/>
      </c>
      <c r="K130" s="6"/>
      <c r="L130" s="6"/>
    </row>
    <row r="131" customFormat="false" ht="15" hidden="false" customHeight="false" outlineLevel="0" collapsed="false">
      <c r="A131" s="11"/>
      <c r="B131" s="6"/>
      <c r="C131" s="12" t="str">
        <f aca="false">IF(B131="","",IFERROR(INDEX('Gold Registry'!$B$4:$B$103,MATCH(B131,'Gold Registry'!$A$4:$A$103,0)),"Not found"))</f>
        <v/>
      </c>
      <c r="D131" s="6"/>
      <c r="E131" s="13" t="str">
        <f aca="false">IF(D131="","",IFERROR(INDEX('Reference Tables'!$B$3:$B$8,MATCH(D131,'Reference Tables'!$A$3:$A$8,0)),"Invalid package"))</f>
        <v/>
      </c>
      <c r="F131" s="12" t="str">
        <f aca="false">IF(D131="","",IFERROR(INDEX('Reference Tables'!$C$3:$C$8,MATCH(D131,'Reference Tables'!$A$3:$A$8,0)),"Invalid package"))</f>
        <v/>
      </c>
      <c r="G131" s="14" t="str">
        <f aca="false">IF(E131="","",'Reference Tables'!$C$15)</f>
        <v/>
      </c>
      <c r="H131" s="12" t="str">
        <f aca="false">IF(E131="","",IF(E131&gt;=150,"Yes","No"))</f>
        <v/>
      </c>
      <c r="I131" s="13" t="str">
        <f aca="false">IF(E131="","",IF(H131="Yes",E131*G131,0))</f>
        <v/>
      </c>
      <c r="J131" s="13" t="str">
        <f aca="false">IF(E131="","",E131-I131)</f>
        <v/>
      </c>
      <c r="K131" s="6"/>
      <c r="L131" s="6"/>
    </row>
    <row r="132" customFormat="false" ht="15" hidden="false" customHeight="false" outlineLevel="0" collapsed="false">
      <c r="A132" s="11"/>
      <c r="B132" s="6"/>
      <c r="C132" s="12" t="str">
        <f aca="false">IF(B132="","",IFERROR(INDEX('Gold Registry'!$B$4:$B$103,MATCH(B132,'Gold Registry'!$A$4:$A$103,0)),"Not found"))</f>
        <v/>
      </c>
      <c r="D132" s="6"/>
      <c r="E132" s="13" t="str">
        <f aca="false">IF(D132="","",IFERROR(INDEX('Reference Tables'!$B$3:$B$8,MATCH(D132,'Reference Tables'!$A$3:$A$8,0)),"Invalid package"))</f>
        <v/>
      </c>
      <c r="F132" s="12" t="str">
        <f aca="false">IF(D132="","",IFERROR(INDEX('Reference Tables'!$C$3:$C$8,MATCH(D132,'Reference Tables'!$A$3:$A$8,0)),"Invalid package"))</f>
        <v/>
      </c>
      <c r="G132" s="14" t="str">
        <f aca="false">IF(E132="","",'Reference Tables'!$C$15)</f>
        <v/>
      </c>
      <c r="H132" s="12" t="str">
        <f aca="false">IF(E132="","",IF(E132&gt;=150,"Yes","No"))</f>
        <v/>
      </c>
      <c r="I132" s="13" t="str">
        <f aca="false">IF(E132="","",IF(H132="Yes",E132*G132,0))</f>
        <v/>
      </c>
      <c r="J132" s="13" t="str">
        <f aca="false">IF(E132="","",E132-I132)</f>
        <v/>
      </c>
      <c r="K132" s="6"/>
      <c r="L132" s="6"/>
    </row>
    <row r="133" customFormat="false" ht="15" hidden="false" customHeight="false" outlineLevel="0" collapsed="false">
      <c r="A133" s="11"/>
      <c r="B133" s="6"/>
      <c r="C133" s="12" t="str">
        <f aca="false">IF(B133="","",IFERROR(INDEX('Gold Registry'!$B$4:$B$103,MATCH(B133,'Gold Registry'!$A$4:$A$103,0)),"Not found"))</f>
        <v/>
      </c>
      <c r="D133" s="6"/>
      <c r="E133" s="13" t="str">
        <f aca="false">IF(D133="","",IFERROR(INDEX('Reference Tables'!$B$3:$B$8,MATCH(D133,'Reference Tables'!$A$3:$A$8,0)),"Invalid package"))</f>
        <v/>
      </c>
      <c r="F133" s="12" t="str">
        <f aca="false">IF(D133="","",IFERROR(INDEX('Reference Tables'!$C$3:$C$8,MATCH(D133,'Reference Tables'!$A$3:$A$8,0)),"Invalid package"))</f>
        <v/>
      </c>
      <c r="G133" s="14" t="str">
        <f aca="false">IF(E133="","",'Reference Tables'!$C$15)</f>
        <v/>
      </c>
      <c r="H133" s="12" t="str">
        <f aca="false">IF(E133="","",IF(E133&gt;=150,"Yes","No"))</f>
        <v/>
      </c>
      <c r="I133" s="13" t="str">
        <f aca="false">IF(E133="","",IF(H133="Yes",E133*G133,0))</f>
        <v/>
      </c>
      <c r="J133" s="13" t="str">
        <f aca="false">IF(E133="","",E133-I133)</f>
        <v/>
      </c>
      <c r="K133" s="6"/>
      <c r="L133" s="6"/>
    </row>
    <row r="134" customFormat="false" ht="15" hidden="false" customHeight="false" outlineLevel="0" collapsed="false">
      <c r="A134" s="11"/>
      <c r="B134" s="6"/>
      <c r="C134" s="12" t="str">
        <f aca="false">IF(B134="","",IFERROR(INDEX('Gold Registry'!$B$4:$B$103,MATCH(B134,'Gold Registry'!$A$4:$A$103,0)),"Not found"))</f>
        <v/>
      </c>
      <c r="D134" s="6"/>
      <c r="E134" s="13" t="str">
        <f aca="false">IF(D134="","",IFERROR(INDEX('Reference Tables'!$B$3:$B$8,MATCH(D134,'Reference Tables'!$A$3:$A$8,0)),"Invalid package"))</f>
        <v/>
      </c>
      <c r="F134" s="12" t="str">
        <f aca="false">IF(D134="","",IFERROR(INDEX('Reference Tables'!$C$3:$C$8,MATCH(D134,'Reference Tables'!$A$3:$A$8,0)),"Invalid package"))</f>
        <v/>
      </c>
      <c r="G134" s="14" t="str">
        <f aca="false">IF(E134="","",'Reference Tables'!$C$15)</f>
        <v/>
      </c>
      <c r="H134" s="12" t="str">
        <f aca="false">IF(E134="","",IF(E134&gt;=150,"Yes","No"))</f>
        <v/>
      </c>
      <c r="I134" s="13" t="str">
        <f aca="false">IF(E134="","",IF(H134="Yes",E134*G134,0))</f>
        <v/>
      </c>
      <c r="J134" s="13" t="str">
        <f aca="false">IF(E134="","",E134-I134)</f>
        <v/>
      </c>
      <c r="K134" s="6"/>
      <c r="L134" s="6"/>
    </row>
    <row r="135" customFormat="false" ht="15" hidden="false" customHeight="false" outlineLevel="0" collapsed="false">
      <c r="A135" s="11"/>
      <c r="B135" s="6"/>
      <c r="C135" s="12" t="str">
        <f aca="false">IF(B135="","",IFERROR(INDEX('Gold Registry'!$B$4:$B$103,MATCH(B135,'Gold Registry'!$A$4:$A$103,0)),"Not found"))</f>
        <v/>
      </c>
      <c r="D135" s="6"/>
      <c r="E135" s="13" t="str">
        <f aca="false">IF(D135="","",IFERROR(INDEX('Reference Tables'!$B$3:$B$8,MATCH(D135,'Reference Tables'!$A$3:$A$8,0)),"Invalid package"))</f>
        <v/>
      </c>
      <c r="F135" s="12" t="str">
        <f aca="false">IF(D135="","",IFERROR(INDEX('Reference Tables'!$C$3:$C$8,MATCH(D135,'Reference Tables'!$A$3:$A$8,0)),"Invalid package"))</f>
        <v/>
      </c>
      <c r="G135" s="14" t="str">
        <f aca="false">IF(E135="","",'Reference Tables'!$C$15)</f>
        <v/>
      </c>
      <c r="H135" s="12" t="str">
        <f aca="false">IF(E135="","",IF(E135&gt;=150,"Yes","No"))</f>
        <v/>
      </c>
      <c r="I135" s="13" t="str">
        <f aca="false">IF(E135="","",IF(H135="Yes",E135*G135,0))</f>
        <v/>
      </c>
      <c r="J135" s="13" t="str">
        <f aca="false">IF(E135="","",E135-I135)</f>
        <v/>
      </c>
      <c r="K135" s="6"/>
      <c r="L135" s="6"/>
    </row>
    <row r="136" customFormat="false" ht="15" hidden="false" customHeight="false" outlineLevel="0" collapsed="false">
      <c r="A136" s="11"/>
      <c r="B136" s="6"/>
      <c r="C136" s="12" t="str">
        <f aca="false">IF(B136="","",IFERROR(INDEX('Gold Registry'!$B$4:$B$103,MATCH(B136,'Gold Registry'!$A$4:$A$103,0)),"Not found"))</f>
        <v/>
      </c>
      <c r="D136" s="6"/>
      <c r="E136" s="13" t="str">
        <f aca="false">IF(D136="","",IFERROR(INDEX('Reference Tables'!$B$3:$B$8,MATCH(D136,'Reference Tables'!$A$3:$A$8,0)),"Invalid package"))</f>
        <v/>
      </c>
      <c r="F136" s="12" t="str">
        <f aca="false">IF(D136="","",IFERROR(INDEX('Reference Tables'!$C$3:$C$8,MATCH(D136,'Reference Tables'!$A$3:$A$8,0)),"Invalid package"))</f>
        <v/>
      </c>
      <c r="G136" s="14" t="str">
        <f aca="false">IF(E136="","",'Reference Tables'!$C$15)</f>
        <v/>
      </c>
      <c r="H136" s="12" t="str">
        <f aca="false">IF(E136="","",IF(E136&gt;=150,"Yes","No"))</f>
        <v/>
      </c>
      <c r="I136" s="13" t="str">
        <f aca="false">IF(E136="","",IF(H136="Yes",E136*G136,0))</f>
        <v/>
      </c>
      <c r="J136" s="13" t="str">
        <f aca="false">IF(E136="","",E136-I136)</f>
        <v/>
      </c>
      <c r="K136" s="6"/>
      <c r="L136" s="6"/>
    </row>
    <row r="137" customFormat="false" ht="15" hidden="false" customHeight="false" outlineLevel="0" collapsed="false">
      <c r="A137" s="11"/>
      <c r="B137" s="6"/>
      <c r="C137" s="12" t="str">
        <f aca="false">IF(B137="","",IFERROR(INDEX('Gold Registry'!$B$4:$B$103,MATCH(B137,'Gold Registry'!$A$4:$A$103,0)),"Not found"))</f>
        <v/>
      </c>
      <c r="D137" s="6"/>
      <c r="E137" s="13" t="str">
        <f aca="false">IF(D137="","",IFERROR(INDEX('Reference Tables'!$B$3:$B$8,MATCH(D137,'Reference Tables'!$A$3:$A$8,0)),"Invalid package"))</f>
        <v/>
      </c>
      <c r="F137" s="12" t="str">
        <f aca="false">IF(D137="","",IFERROR(INDEX('Reference Tables'!$C$3:$C$8,MATCH(D137,'Reference Tables'!$A$3:$A$8,0)),"Invalid package"))</f>
        <v/>
      </c>
      <c r="G137" s="14" t="str">
        <f aca="false">IF(E137="","",'Reference Tables'!$C$15)</f>
        <v/>
      </c>
      <c r="H137" s="12" t="str">
        <f aca="false">IF(E137="","",IF(E137&gt;=150,"Yes","No"))</f>
        <v/>
      </c>
      <c r="I137" s="13" t="str">
        <f aca="false">IF(E137="","",IF(H137="Yes",E137*G137,0))</f>
        <v/>
      </c>
      <c r="J137" s="13" t="str">
        <f aca="false">IF(E137="","",E137-I137)</f>
        <v/>
      </c>
      <c r="K137" s="6"/>
      <c r="L137" s="6"/>
    </row>
    <row r="138" customFormat="false" ht="15" hidden="false" customHeight="false" outlineLevel="0" collapsed="false">
      <c r="A138" s="11"/>
      <c r="B138" s="6"/>
      <c r="C138" s="12" t="str">
        <f aca="false">IF(B138="","",IFERROR(INDEX('Gold Registry'!$B$4:$B$103,MATCH(B138,'Gold Registry'!$A$4:$A$103,0)),"Not found"))</f>
        <v/>
      </c>
      <c r="D138" s="6"/>
      <c r="E138" s="13" t="str">
        <f aca="false">IF(D138="","",IFERROR(INDEX('Reference Tables'!$B$3:$B$8,MATCH(D138,'Reference Tables'!$A$3:$A$8,0)),"Invalid package"))</f>
        <v/>
      </c>
      <c r="F138" s="12" t="str">
        <f aca="false">IF(D138="","",IFERROR(INDEX('Reference Tables'!$C$3:$C$8,MATCH(D138,'Reference Tables'!$A$3:$A$8,0)),"Invalid package"))</f>
        <v/>
      </c>
      <c r="G138" s="14" t="str">
        <f aca="false">IF(E138="","",'Reference Tables'!$C$15)</f>
        <v/>
      </c>
      <c r="H138" s="12" t="str">
        <f aca="false">IF(E138="","",IF(E138&gt;=150,"Yes","No"))</f>
        <v/>
      </c>
      <c r="I138" s="13" t="str">
        <f aca="false">IF(E138="","",IF(H138="Yes",E138*G138,0))</f>
        <v/>
      </c>
      <c r="J138" s="13" t="str">
        <f aca="false">IF(E138="","",E138-I138)</f>
        <v/>
      </c>
      <c r="K138" s="6"/>
      <c r="L138" s="6"/>
    </row>
    <row r="139" customFormat="false" ht="15" hidden="false" customHeight="false" outlineLevel="0" collapsed="false">
      <c r="A139" s="11"/>
      <c r="B139" s="6"/>
      <c r="C139" s="12" t="str">
        <f aca="false">IF(B139="","",IFERROR(INDEX('Gold Registry'!$B$4:$B$103,MATCH(B139,'Gold Registry'!$A$4:$A$103,0)),"Not found"))</f>
        <v/>
      </c>
      <c r="D139" s="6"/>
      <c r="E139" s="13" t="str">
        <f aca="false">IF(D139="","",IFERROR(INDEX('Reference Tables'!$B$3:$B$8,MATCH(D139,'Reference Tables'!$A$3:$A$8,0)),"Invalid package"))</f>
        <v/>
      </c>
      <c r="F139" s="12" t="str">
        <f aca="false">IF(D139="","",IFERROR(INDEX('Reference Tables'!$C$3:$C$8,MATCH(D139,'Reference Tables'!$A$3:$A$8,0)),"Invalid package"))</f>
        <v/>
      </c>
      <c r="G139" s="14" t="str">
        <f aca="false">IF(E139="","",'Reference Tables'!$C$15)</f>
        <v/>
      </c>
      <c r="H139" s="12" t="str">
        <f aca="false">IF(E139="","",IF(E139&gt;=150,"Yes","No"))</f>
        <v/>
      </c>
      <c r="I139" s="13" t="str">
        <f aca="false">IF(E139="","",IF(H139="Yes",E139*G139,0))</f>
        <v/>
      </c>
      <c r="J139" s="13" t="str">
        <f aca="false">IF(E139="","",E139-I139)</f>
        <v/>
      </c>
      <c r="K139" s="6"/>
      <c r="L139" s="6"/>
    </row>
    <row r="140" customFormat="false" ht="15" hidden="false" customHeight="false" outlineLevel="0" collapsed="false">
      <c r="A140" s="11"/>
      <c r="B140" s="6"/>
      <c r="C140" s="12" t="str">
        <f aca="false">IF(B140="","",IFERROR(INDEX('Gold Registry'!$B$4:$B$103,MATCH(B140,'Gold Registry'!$A$4:$A$103,0)),"Not found"))</f>
        <v/>
      </c>
      <c r="D140" s="6"/>
      <c r="E140" s="13" t="str">
        <f aca="false">IF(D140="","",IFERROR(INDEX('Reference Tables'!$B$3:$B$8,MATCH(D140,'Reference Tables'!$A$3:$A$8,0)),"Invalid package"))</f>
        <v/>
      </c>
      <c r="F140" s="12" t="str">
        <f aca="false">IF(D140="","",IFERROR(INDEX('Reference Tables'!$C$3:$C$8,MATCH(D140,'Reference Tables'!$A$3:$A$8,0)),"Invalid package"))</f>
        <v/>
      </c>
      <c r="G140" s="14" t="str">
        <f aca="false">IF(E140="","",'Reference Tables'!$C$15)</f>
        <v/>
      </c>
      <c r="H140" s="12" t="str">
        <f aca="false">IF(E140="","",IF(E140&gt;=150,"Yes","No"))</f>
        <v/>
      </c>
      <c r="I140" s="13" t="str">
        <f aca="false">IF(E140="","",IF(H140="Yes",E140*G140,0))</f>
        <v/>
      </c>
      <c r="J140" s="13" t="str">
        <f aca="false">IF(E140="","",E140-I140)</f>
        <v/>
      </c>
      <c r="K140" s="6"/>
      <c r="L140" s="6"/>
    </row>
    <row r="141" customFormat="false" ht="15" hidden="false" customHeight="false" outlineLevel="0" collapsed="false">
      <c r="A141" s="11"/>
      <c r="B141" s="6"/>
      <c r="C141" s="12" t="str">
        <f aca="false">IF(B141="","",IFERROR(INDEX('Gold Registry'!$B$4:$B$103,MATCH(B141,'Gold Registry'!$A$4:$A$103,0)),"Not found"))</f>
        <v/>
      </c>
      <c r="D141" s="6"/>
      <c r="E141" s="13" t="str">
        <f aca="false">IF(D141="","",IFERROR(INDEX('Reference Tables'!$B$3:$B$8,MATCH(D141,'Reference Tables'!$A$3:$A$8,0)),"Invalid package"))</f>
        <v/>
      </c>
      <c r="F141" s="12" t="str">
        <f aca="false">IF(D141="","",IFERROR(INDEX('Reference Tables'!$C$3:$C$8,MATCH(D141,'Reference Tables'!$A$3:$A$8,0)),"Invalid package"))</f>
        <v/>
      </c>
      <c r="G141" s="14" t="str">
        <f aca="false">IF(E141="","",'Reference Tables'!$C$15)</f>
        <v/>
      </c>
      <c r="H141" s="12" t="str">
        <f aca="false">IF(E141="","",IF(E141&gt;=150,"Yes","No"))</f>
        <v/>
      </c>
      <c r="I141" s="13" t="str">
        <f aca="false">IF(E141="","",IF(H141="Yes",E141*G141,0))</f>
        <v/>
      </c>
      <c r="J141" s="13" t="str">
        <f aca="false">IF(E141="","",E141-I141)</f>
        <v/>
      </c>
      <c r="K141" s="6"/>
      <c r="L141" s="6"/>
    </row>
    <row r="142" customFormat="false" ht="15" hidden="false" customHeight="false" outlineLevel="0" collapsed="false">
      <c r="A142" s="11"/>
      <c r="B142" s="6"/>
      <c r="C142" s="12" t="str">
        <f aca="false">IF(B142="","",IFERROR(INDEX('Gold Registry'!$B$4:$B$103,MATCH(B142,'Gold Registry'!$A$4:$A$103,0)),"Not found"))</f>
        <v/>
      </c>
      <c r="D142" s="6"/>
      <c r="E142" s="13" t="str">
        <f aca="false">IF(D142="","",IFERROR(INDEX('Reference Tables'!$B$3:$B$8,MATCH(D142,'Reference Tables'!$A$3:$A$8,0)),"Invalid package"))</f>
        <v/>
      </c>
      <c r="F142" s="12" t="str">
        <f aca="false">IF(D142="","",IFERROR(INDEX('Reference Tables'!$C$3:$C$8,MATCH(D142,'Reference Tables'!$A$3:$A$8,0)),"Invalid package"))</f>
        <v/>
      </c>
      <c r="G142" s="14" t="str">
        <f aca="false">IF(E142="","",'Reference Tables'!$C$15)</f>
        <v/>
      </c>
      <c r="H142" s="12" t="str">
        <f aca="false">IF(E142="","",IF(E142&gt;=150,"Yes","No"))</f>
        <v/>
      </c>
      <c r="I142" s="13" t="str">
        <f aca="false">IF(E142="","",IF(H142="Yes",E142*G142,0))</f>
        <v/>
      </c>
      <c r="J142" s="13" t="str">
        <f aca="false">IF(E142="","",E142-I142)</f>
        <v/>
      </c>
      <c r="K142" s="6"/>
      <c r="L142" s="6"/>
    </row>
    <row r="143" customFormat="false" ht="15" hidden="false" customHeight="false" outlineLevel="0" collapsed="false">
      <c r="A143" s="11"/>
      <c r="B143" s="6"/>
      <c r="C143" s="12" t="str">
        <f aca="false">IF(B143="","",IFERROR(INDEX('Gold Registry'!$B$4:$B$103,MATCH(B143,'Gold Registry'!$A$4:$A$103,0)),"Not found"))</f>
        <v/>
      </c>
      <c r="D143" s="6"/>
      <c r="E143" s="13" t="str">
        <f aca="false">IF(D143="","",IFERROR(INDEX('Reference Tables'!$B$3:$B$8,MATCH(D143,'Reference Tables'!$A$3:$A$8,0)),"Invalid package"))</f>
        <v/>
      </c>
      <c r="F143" s="12" t="str">
        <f aca="false">IF(D143="","",IFERROR(INDEX('Reference Tables'!$C$3:$C$8,MATCH(D143,'Reference Tables'!$A$3:$A$8,0)),"Invalid package"))</f>
        <v/>
      </c>
      <c r="G143" s="14" t="str">
        <f aca="false">IF(E143="","",'Reference Tables'!$C$15)</f>
        <v/>
      </c>
      <c r="H143" s="12" t="str">
        <f aca="false">IF(E143="","",IF(E143&gt;=150,"Yes","No"))</f>
        <v/>
      </c>
      <c r="I143" s="13" t="str">
        <f aca="false">IF(E143="","",IF(H143="Yes",E143*G143,0))</f>
        <v/>
      </c>
      <c r="J143" s="13" t="str">
        <f aca="false">IF(E143="","",E143-I143)</f>
        <v/>
      </c>
      <c r="K143" s="6"/>
      <c r="L143" s="6"/>
    </row>
    <row r="144" customFormat="false" ht="15" hidden="false" customHeight="false" outlineLevel="0" collapsed="false">
      <c r="A144" s="11"/>
      <c r="B144" s="6"/>
      <c r="C144" s="12" t="str">
        <f aca="false">IF(B144="","",IFERROR(INDEX('Gold Registry'!$B$4:$B$103,MATCH(B144,'Gold Registry'!$A$4:$A$103,0)),"Not found"))</f>
        <v/>
      </c>
      <c r="D144" s="6"/>
      <c r="E144" s="13" t="str">
        <f aca="false">IF(D144="","",IFERROR(INDEX('Reference Tables'!$B$3:$B$8,MATCH(D144,'Reference Tables'!$A$3:$A$8,0)),"Invalid package"))</f>
        <v/>
      </c>
      <c r="F144" s="12" t="str">
        <f aca="false">IF(D144="","",IFERROR(INDEX('Reference Tables'!$C$3:$C$8,MATCH(D144,'Reference Tables'!$A$3:$A$8,0)),"Invalid package"))</f>
        <v/>
      </c>
      <c r="G144" s="14" t="str">
        <f aca="false">IF(E144="","",'Reference Tables'!$C$15)</f>
        <v/>
      </c>
      <c r="H144" s="12" t="str">
        <f aca="false">IF(E144="","",IF(E144&gt;=150,"Yes","No"))</f>
        <v/>
      </c>
      <c r="I144" s="13" t="str">
        <f aca="false">IF(E144="","",IF(H144="Yes",E144*G144,0))</f>
        <v/>
      </c>
      <c r="J144" s="13" t="str">
        <f aca="false">IF(E144="","",E144-I144)</f>
        <v/>
      </c>
      <c r="K144" s="6"/>
      <c r="L144" s="6"/>
    </row>
    <row r="145" customFormat="false" ht="15" hidden="false" customHeight="false" outlineLevel="0" collapsed="false">
      <c r="A145" s="11"/>
      <c r="B145" s="6"/>
      <c r="C145" s="12" t="str">
        <f aca="false">IF(B145="","",IFERROR(INDEX('Gold Registry'!$B$4:$B$103,MATCH(B145,'Gold Registry'!$A$4:$A$103,0)),"Not found"))</f>
        <v/>
      </c>
      <c r="D145" s="6"/>
      <c r="E145" s="13" t="str">
        <f aca="false">IF(D145="","",IFERROR(INDEX('Reference Tables'!$B$3:$B$8,MATCH(D145,'Reference Tables'!$A$3:$A$8,0)),"Invalid package"))</f>
        <v/>
      </c>
      <c r="F145" s="12" t="str">
        <f aca="false">IF(D145="","",IFERROR(INDEX('Reference Tables'!$C$3:$C$8,MATCH(D145,'Reference Tables'!$A$3:$A$8,0)),"Invalid package"))</f>
        <v/>
      </c>
      <c r="G145" s="14" t="str">
        <f aca="false">IF(E145="","",'Reference Tables'!$C$15)</f>
        <v/>
      </c>
      <c r="H145" s="12" t="str">
        <f aca="false">IF(E145="","",IF(E145&gt;=150,"Yes","No"))</f>
        <v/>
      </c>
      <c r="I145" s="13" t="str">
        <f aca="false">IF(E145="","",IF(H145="Yes",E145*G145,0))</f>
        <v/>
      </c>
      <c r="J145" s="13" t="str">
        <f aca="false">IF(E145="","",E145-I145)</f>
        <v/>
      </c>
      <c r="K145" s="6"/>
      <c r="L145" s="6"/>
    </row>
    <row r="146" customFormat="false" ht="15" hidden="false" customHeight="false" outlineLevel="0" collapsed="false">
      <c r="A146" s="11"/>
      <c r="B146" s="6"/>
      <c r="C146" s="12" t="str">
        <f aca="false">IF(B146="","",IFERROR(INDEX('Gold Registry'!$B$4:$B$103,MATCH(B146,'Gold Registry'!$A$4:$A$103,0)),"Not found"))</f>
        <v/>
      </c>
      <c r="D146" s="6"/>
      <c r="E146" s="13" t="str">
        <f aca="false">IF(D146="","",IFERROR(INDEX('Reference Tables'!$B$3:$B$8,MATCH(D146,'Reference Tables'!$A$3:$A$8,0)),"Invalid package"))</f>
        <v/>
      </c>
      <c r="F146" s="12" t="str">
        <f aca="false">IF(D146="","",IFERROR(INDEX('Reference Tables'!$C$3:$C$8,MATCH(D146,'Reference Tables'!$A$3:$A$8,0)),"Invalid package"))</f>
        <v/>
      </c>
      <c r="G146" s="14" t="str">
        <f aca="false">IF(E146="","",'Reference Tables'!$C$15)</f>
        <v/>
      </c>
      <c r="H146" s="12" t="str">
        <f aca="false">IF(E146="","",IF(E146&gt;=150,"Yes","No"))</f>
        <v/>
      </c>
      <c r="I146" s="13" t="str">
        <f aca="false">IF(E146="","",IF(H146="Yes",E146*G146,0))</f>
        <v/>
      </c>
      <c r="J146" s="13" t="str">
        <f aca="false">IF(E146="","",E146-I146)</f>
        <v/>
      </c>
      <c r="K146" s="6"/>
      <c r="L146" s="6"/>
    </row>
    <row r="147" customFormat="false" ht="15" hidden="false" customHeight="false" outlineLevel="0" collapsed="false">
      <c r="A147" s="11"/>
      <c r="B147" s="6"/>
      <c r="C147" s="12" t="str">
        <f aca="false">IF(B147="","",IFERROR(INDEX('Gold Registry'!$B$4:$B$103,MATCH(B147,'Gold Registry'!$A$4:$A$103,0)),"Not found"))</f>
        <v/>
      </c>
      <c r="D147" s="6"/>
      <c r="E147" s="13" t="str">
        <f aca="false">IF(D147="","",IFERROR(INDEX('Reference Tables'!$B$3:$B$8,MATCH(D147,'Reference Tables'!$A$3:$A$8,0)),"Invalid package"))</f>
        <v/>
      </c>
      <c r="F147" s="12" t="str">
        <f aca="false">IF(D147="","",IFERROR(INDEX('Reference Tables'!$C$3:$C$8,MATCH(D147,'Reference Tables'!$A$3:$A$8,0)),"Invalid package"))</f>
        <v/>
      </c>
      <c r="G147" s="14" t="str">
        <f aca="false">IF(E147="","",'Reference Tables'!$C$15)</f>
        <v/>
      </c>
      <c r="H147" s="12" t="str">
        <f aca="false">IF(E147="","",IF(E147&gt;=150,"Yes","No"))</f>
        <v/>
      </c>
      <c r="I147" s="13" t="str">
        <f aca="false">IF(E147="","",IF(H147="Yes",E147*G147,0))</f>
        <v/>
      </c>
      <c r="J147" s="13" t="str">
        <f aca="false">IF(E147="","",E147-I147)</f>
        <v/>
      </c>
      <c r="K147" s="6"/>
      <c r="L147" s="6"/>
    </row>
    <row r="148" customFormat="false" ht="15" hidden="false" customHeight="false" outlineLevel="0" collapsed="false">
      <c r="A148" s="11"/>
      <c r="B148" s="6"/>
      <c r="C148" s="12" t="str">
        <f aca="false">IF(B148="","",IFERROR(INDEX('Gold Registry'!$B$4:$B$103,MATCH(B148,'Gold Registry'!$A$4:$A$103,0)),"Not found"))</f>
        <v/>
      </c>
      <c r="D148" s="6"/>
      <c r="E148" s="13" t="str">
        <f aca="false">IF(D148="","",IFERROR(INDEX('Reference Tables'!$B$3:$B$8,MATCH(D148,'Reference Tables'!$A$3:$A$8,0)),"Invalid package"))</f>
        <v/>
      </c>
      <c r="F148" s="12" t="str">
        <f aca="false">IF(D148="","",IFERROR(INDEX('Reference Tables'!$C$3:$C$8,MATCH(D148,'Reference Tables'!$A$3:$A$8,0)),"Invalid package"))</f>
        <v/>
      </c>
      <c r="G148" s="14" t="str">
        <f aca="false">IF(E148="","",'Reference Tables'!$C$15)</f>
        <v/>
      </c>
      <c r="H148" s="12" t="str">
        <f aca="false">IF(E148="","",IF(E148&gt;=150,"Yes","No"))</f>
        <v/>
      </c>
      <c r="I148" s="13" t="str">
        <f aca="false">IF(E148="","",IF(H148="Yes",E148*G148,0))</f>
        <v/>
      </c>
      <c r="J148" s="13" t="str">
        <f aca="false">IF(E148="","",E148-I148)</f>
        <v/>
      </c>
      <c r="K148" s="6"/>
      <c r="L148" s="6"/>
    </row>
    <row r="149" customFormat="false" ht="15" hidden="false" customHeight="false" outlineLevel="0" collapsed="false">
      <c r="A149" s="11"/>
      <c r="B149" s="6"/>
      <c r="C149" s="12" t="str">
        <f aca="false">IF(B149="","",IFERROR(INDEX('Gold Registry'!$B$4:$B$103,MATCH(B149,'Gold Registry'!$A$4:$A$103,0)),"Not found"))</f>
        <v/>
      </c>
      <c r="D149" s="6"/>
      <c r="E149" s="13" t="str">
        <f aca="false">IF(D149="","",IFERROR(INDEX('Reference Tables'!$B$3:$B$8,MATCH(D149,'Reference Tables'!$A$3:$A$8,0)),"Invalid package"))</f>
        <v/>
      </c>
      <c r="F149" s="12" t="str">
        <f aca="false">IF(D149="","",IFERROR(INDEX('Reference Tables'!$C$3:$C$8,MATCH(D149,'Reference Tables'!$A$3:$A$8,0)),"Invalid package"))</f>
        <v/>
      </c>
      <c r="G149" s="14" t="str">
        <f aca="false">IF(E149="","",'Reference Tables'!$C$15)</f>
        <v/>
      </c>
      <c r="H149" s="12" t="str">
        <f aca="false">IF(E149="","",IF(E149&gt;=150,"Yes","No"))</f>
        <v/>
      </c>
      <c r="I149" s="13" t="str">
        <f aca="false">IF(E149="","",IF(H149="Yes",E149*G149,0))</f>
        <v/>
      </c>
      <c r="J149" s="13" t="str">
        <f aca="false">IF(E149="","",E149-I149)</f>
        <v/>
      </c>
      <c r="K149" s="6"/>
      <c r="L149" s="6"/>
    </row>
    <row r="150" customFormat="false" ht="15" hidden="false" customHeight="false" outlineLevel="0" collapsed="false">
      <c r="A150" s="11"/>
      <c r="B150" s="6"/>
      <c r="C150" s="12" t="str">
        <f aca="false">IF(B150="","",IFERROR(INDEX('Gold Registry'!$B$4:$B$103,MATCH(B150,'Gold Registry'!$A$4:$A$103,0)),"Not found"))</f>
        <v/>
      </c>
      <c r="D150" s="6"/>
      <c r="E150" s="13" t="str">
        <f aca="false">IF(D150="","",IFERROR(INDEX('Reference Tables'!$B$3:$B$8,MATCH(D150,'Reference Tables'!$A$3:$A$8,0)),"Invalid package"))</f>
        <v/>
      </c>
      <c r="F150" s="12" t="str">
        <f aca="false">IF(D150="","",IFERROR(INDEX('Reference Tables'!$C$3:$C$8,MATCH(D150,'Reference Tables'!$A$3:$A$8,0)),"Invalid package"))</f>
        <v/>
      </c>
      <c r="G150" s="14" t="str">
        <f aca="false">IF(E150="","",'Reference Tables'!$C$15)</f>
        <v/>
      </c>
      <c r="H150" s="12" t="str">
        <f aca="false">IF(E150="","",IF(E150&gt;=150,"Yes","No"))</f>
        <v/>
      </c>
      <c r="I150" s="13" t="str">
        <f aca="false">IF(E150="","",IF(H150="Yes",E150*G150,0))</f>
        <v/>
      </c>
      <c r="J150" s="13" t="str">
        <f aca="false">IF(E150="","",E150-I150)</f>
        <v/>
      </c>
      <c r="K150" s="6"/>
      <c r="L150" s="6"/>
    </row>
    <row r="151" customFormat="false" ht="15" hidden="false" customHeight="false" outlineLevel="0" collapsed="false">
      <c r="A151" s="11"/>
      <c r="B151" s="6"/>
      <c r="C151" s="12" t="str">
        <f aca="false">IF(B151="","",IFERROR(INDEX('Gold Registry'!$B$4:$B$103,MATCH(B151,'Gold Registry'!$A$4:$A$103,0)),"Not found"))</f>
        <v/>
      </c>
      <c r="D151" s="6"/>
      <c r="E151" s="13" t="str">
        <f aca="false">IF(D151="","",IFERROR(INDEX('Reference Tables'!$B$3:$B$8,MATCH(D151,'Reference Tables'!$A$3:$A$8,0)),"Invalid package"))</f>
        <v/>
      </c>
      <c r="F151" s="12" t="str">
        <f aca="false">IF(D151="","",IFERROR(INDEX('Reference Tables'!$C$3:$C$8,MATCH(D151,'Reference Tables'!$A$3:$A$8,0)),"Invalid package"))</f>
        <v/>
      </c>
      <c r="G151" s="14" t="str">
        <f aca="false">IF(E151="","",'Reference Tables'!$C$15)</f>
        <v/>
      </c>
      <c r="H151" s="12" t="str">
        <f aca="false">IF(E151="","",IF(E151&gt;=150,"Yes","No"))</f>
        <v/>
      </c>
      <c r="I151" s="13" t="str">
        <f aca="false">IF(E151="","",IF(H151="Yes",E151*G151,0))</f>
        <v/>
      </c>
      <c r="J151" s="13" t="str">
        <f aca="false">IF(E151="","",E151-I151)</f>
        <v/>
      </c>
      <c r="K151" s="6"/>
      <c r="L151" s="6"/>
    </row>
    <row r="152" customFormat="false" ht="15" hidden="false" customHeight="false" outlineLevel="0" collapsed="false">
      <c r="A152" s="11"/>
      <c r="B152" s="6"/>
      <c r="C152" s="12" t="str">
        <f aca="false">IF(B152="","",IFERROR(INDEX('Gold Registry'!$B$4:$B$103,MATCH(B152,'Gold Registry'!$A$4:$A$103,0)),"Not found"))</f>
        <v/>
      </c>
      <c r="D152" s="6"/>
      <c r="E152" s="13" t="str">
        <f aca="false">IF(D152="","",IFERROR(INDEX('Reference Tables'!$B$3:$B$8,MATCH(D152,'Reference Tables'!$A$3:$A$8,0)),"Invalid package"))</f>
        <v/>
      </c>
      <c r="F152" s="12" t="str">
        <f aca="false">IF(D152="","",IFERROR(INDEX('Reference Tables'!$C$3:$C$8,MATCH(D152,'Reference Tables'!$A$3:$A$8,0)),"Invalid package"))</f>
        <v/>
      </c>
      <c r="G152" s="14" t="str">
        <f aca="false">IF(E152="","",'Reference Tables'!$C$15)</f>
        <v/>
      </c>
      <c r="H152" s="12" t="str">
        <f aca="false">IF(E152="","",IF(E152&gt;=150,"Yes","No"))</f>
        <v/>
      </c>
      <c r="I152" s="13" t="str">
        <f aca="false">IF(E152="","",IF(H152="Yes",E152*G152,0))</f>
        <v/>
      </c>
      <c r="J152" s="13" t="str">
        <f aca="false">IF(E152="","",E152-I152)</f>
        <v/>
      </c>
      <c r="K152" s="6"/>
      <c r="L152" s="6"/>
    </row>
    <row r="153" customFormat="false" ht="15" hidden="false" customHeight="false" outlineLevel="0" collapsed="false">
      <c r="A153" s="11"/>
      <c r="B153" s="6"/>
      <c r="C153" s="12" t="str">
        <f aca="false">IF(B153="","",IFERROR(INDEX('Gold Registry'!$B$4:$B$103,MATCH(B153,'Gold Registry'!$A$4:$A$103,0)),"Not found"))</f>
        <v/>
      </c>
      <c r="D153" s="6"/>
      <c r="E153" s="13" t="str">
        <f aca="false">IF(D153="","",IFERROR(INDEX('Reference Tables'!$B$3:$B$8,MATCH(D153,'Reference Tables'!$A$3:$A$8,0)),"Invalid package"))</f>
        <v/>
      </c>
      <c r="F153" s="12" t="str">
        <f aca="false">IF(D153="","",IFERROR(INDEX('Reference Tables'!$C$3:$C$8,MATCH(D153,'Reference Tables'!$A$3:$A$8,0)),"Invalid package"))</f>
        <v/>
      </c>
      <c r="G153" s="14" t="str">
        <f aca="false">IF(E153="","",'Reference Tables'!$C$15)</f>
        <v/>
      </c>
      <c r="H153" s="12" t="str">
        <f aca="false">IF(E153="","",IF(E153&gt;=150,"Yes","No"))</f>
        <v/>
      </c>
      <c r="I153" s="13" t="str">
        <f aca="false">IF(E153="","",IF(H153="Yes",E153*G153,0))</f>
        <v/>
      </c>
      <c r="J153" s="13" t="str">
        <f aca="false">IF(E153="","",E153-I153)</f>
        <v/>
      </c>
      <c r="K153" s="6"/>
      <c r="L153" s="6"/>
    </row>
    <row r="154" customFormat="false" ht="15" hidden="false" customHeight="false" outlineLevel="0" collapsed="false">
      <c r="A154" s="11"/>
      <c r="B154" s="6"/>
      <c r="C154" s="12" t="str">
        <f aca="false">IF(B154="","",IFERROR(INDEX('Gold Registry'!$B$4:$B$103,MATCH(B154,'Gold Registry'!$A$4:$A$103,0)),"Not found"))</f>
        <v/>
      </c>
      <c r="D154" s="6"/>
      <c r="E154" s="13" t="str">
        <f aca="false">IF(D154="","",IFERROR(INDEX('Reference Tables'!$B$3:$B$8,MATCH(D154,'Reference Tables'!$A$3:$A$8,0)),"Invalid package"))</f>
        <v/>
      </c>
      <c r="F154" s="12" t="str">
        <f aca="false">IF(D154="","",IFERROR(INDEX('Reference Tables'!$C$3:$C$8,MATCH(D154,'Reference Tables'!$A$3:$A$8,0)),"Invalid package"))</f>
        <v/>
      </c>
      <c r="G154" s="14" t="str">
        <f aca="false">IF(E154="","",'Reference Tables'!$C$15)</f>
        <v/>
      </c>
      <c r="H154" s="12" t="str">
        <f aca="false">IF(E154="","",IF(E154&gt;=150,"Yes","No"))</f>
        <v/>
      </c>
      <c r="I154" s="13" t="str">
        <f aca="false">IF(E154="","",IF(H154="Yes",E154*G154,0))</f>
        <v/>
      </c>
      <c r="J154" s="13" t="str">
        <f aca="false">IF(E154="","",E154-I154)</f>
        <v/>
      </c>
      <c r="K154" s="6"/>
      <c r="L154" s="6"/>
    </row>
    <row r="155" customFormat="false" ht="15" hidden="false" customHeight="false" outlineLevel="0" collapsed="false">
      <c r="A155" s="11"/>
      <c r="B155" s="6"/>
      <c r="C155" s="12" t="str">
        <f aca="false">IF(B155="","",IFERROR(INDEX('Gold Registry'!$B$4:$B$103,MATCH(B155,'Gold Registry'!$A$4:$A$103,0)),"Not found"))</f>
        <v/>
      </c>
      <c r="D155" s="6"/>
      <c r="E155" s="13" t="str">
        <f aca="false">IF(D155="","",IFERROR(INDEX('Reference Tables'!$B$3:$B$8,MATCH(D155,'Reference Tables'!$A$3:$A$8,0)),"Invalid package"))</f>
        <v/>
      </c>
      <c r="F155" s="12" t="str">
        <f aca="false">IF(D155="","",IFERROR(INDEX('Reference Tables'!$C$3:$C$8,MATCH(D155,'Reference Tables'!$A$3:$A$8,0)),"Invalid package"))</f>
        <v/>
      </c>
      <c r="G155" s="14" t="str">
        <f aca="false">IF(E155="","",'Reference Tables'!$C$15)</f>
        <v/>
      </c>
      <c r="H155" s="12" t="str">
        <f aca="false">IF(E155="","",IF(E155&gt;=150,"Yes","No"))</f>
        <v/>
      </c>
      <c r="I155" s="13" t="str">
        <f aca="false">IF(E155="","",IF(H155="Yes",E155*G155,0))</f>
        <v/>
      </c>
      <c r="J155" s="13" t="str">
        <f aca="false">IF(E155="","",E155-I155)</f>
        <v/>
      </c>
      <c r="K155" s="6"/>
      <c r="L155" s="6"/>
    </row>
    <row r="156" customFormat="false" ht="15" hidden="false" customHeight="false" outlineLevel="0" collapsed="false">
      <c r="A156" s="11"/>
      <c r="B156" s="6"/>
      <c r="C156" s="12" t="str">
        <f aca="false">IF(B156="","",IFERROR(INDEX('Gold Registry'!$B$4:$B$103,MATCH(B156,'Gold Registry'!$A$4:$A$103,0)),"Not found"))</f>
        <v/>
      </c>
      <c r="D156" s="6"/>
      <c r="E156" s="13" t="str">
        <f aca="false">IF(D156="","",IFERROR(INDEX('Reference Tables'!$B$3:$B$8,MATCH(D156,'Reference Tables'!$A$3:$A$8,0)),"Invalid package"))</f>
        <v/>
      </c>
      <c r="F156" s="12" t="str">
        <f aca="false">IF(D156="","",IFERROR(INDEX('Reference Tables'!$C$3:$C$8,MATCH(D156,'Reference Tables'!$A$3:$A$8,0)),"Invalid package"))</f>
        <v/>
      </c>
      <c r="G156" s="14" t="str">
        <f aca="false">IF(E156="","",'Reference Tables'!$C$15)</f>
        <v/>
      </c>
      <c r="H156" s="12" t="str">
        <f aca="false">IF(E156="","",IF(E156&gt;=150,"Yes","No"))</f>
        <v/>
      </c>
      <c r="I156" s="13" t="str">
        <f aca="false">IF(E156="","",IF(H156="Yes",E156*G156,0))</f>
        <v/>
      </c>
      <c r="J156" s="13" t="str">
        <f aca="false">IF(E156="","",E156-I156)</f>
        <v/>
      </c>
      <c r="K156" s="6"/>
      <c r="L156" s="6"/>
    </row>
    <row r="157" customFormat="false" ht="15" hidden="false" customHeight="false" outlineLevel="0" collapsed="false">
      <c r="A157" s="11"/>
      <c r="B157" s="6"/>
      <c r="C157" s="12" t="str">
        <f aca="false">IF(B157="","",IFERROR(INDEX('Gold Registry'!$B$4:$B$103,MATCH(B157,'Gold Registry'!$A$4:$A$103,0)),"Not found"))</f>
        <v/>
      </c>
      <c r="D157" s="6"/>
      <c r="E157" s="13" t="str">
        <f aca="false">IF(D157="","",IFERROR(INDEX('Reference Tables'!$B$3:$B$8,MATCH(D157,'Reference Tables'!$A$3:$A$8,0)),"Invalid package"))</f>
        <v/>
      </c>
      <c r="F157" s="12" t="str">
        <f aca="false">IF(D157="","",IFERROR(INDEX('Reference Tables'!$C$3:$C$8,MATCH(D157,'Reference Tables'!$A$3:$A$8,0)),"Invalid package"))</f>
        <v/>
      </c>
      <c r="G157" s="14" t="str">
        <f aca="false">IF(E157="","",'Reference Tables'!$C$15)</f>
        <v/>
      </c>
      <c r="H157" s="12" t="str">
        <f aca="false">IF(E157="","",IF(E157&gt;=150,"Yes","No"))</f>
        <v/>
      </c>
      <c r="I157" s="13" t="str">
        <f aca="false">IF(E157="","",IF(H157="Yes",E157*G157,0))</f>
        <v/>
      </c>
      <c r="J157" s="13" t="str">
        <f aca="false">IF(E157="","",E157-I157)</f>
        <v/>
      </c>
      <c r="K157" s="6"/>
      <c r="L157" s="6"/>
    </row>
    <row r="158" customFormat="false" ht="15" hidden="false" customHeight="false" outlineLevel="0" collapsed="false">
      <c r="A158" s="11"/>
      <c r="B158" s="6"/>
      <c r="C158" s="12" t="str">
        <f aca="false">IF(B158="","",IFERROR(INDEX('Gold Registry'!$B$4:$B$103,MATCH(B158,'Gold Registry'!$A$4:$A$103,0)),"Not found"))</f>
        <v/>
      </c>
      <c r="D158" s="6"/>
      <c r="E158" s="13" t="str">
        <f aca="false">IF(D158="","",IFERROR(INDEX('Reference Tables'!$B$3:$B$8,MATCH(D158,'Reference Tables'!$A$3:$A$8,0)),"Invalid package"))</f>
        <v/>
      </c>
      <c r="F158" s="12" t="str">
        <f aca="false">IF(D158="","",IFERROR(INDEX('Reference Tables'!$C$3:$C$8,MATCH(D158,'Reference Tables'!$A$3:$A$8,0)),"Invalid package"))</f>
        <v/>
      </c>
      <c r="G158" s="14" t="str">
        <f aca="false">IF(E158="","",'Reference Tables'!$C$15)</f>
        <v/>
      </c>
      <c r="H158" s="12" t="str">
        <f aca="false">IF(E158="","",IF(E158&gt;=150,"Yes","No"))</f>
        <v/>
      </c>
      <c r="I158" s="13" t="str">
        <f aca="false">IF(E158="","",IF(H158="Yes",E158*G158,0))</f>
        <v/>
      </c>
      <c r="J158" s="13" t="str">
        <f aca="false">IF(E158="","",E158-I158)</f>
        <v/>
      </c>
      <c r="K158" s="6"/>
      <c r="L158" s="6"/>
    </row>
    <row r="159" customFormat="false" ht="15" hidden="false" customHeight="false" outlineLevel="0" collapsed="false">
      <c r="A159" s="11"/>
      <c r="B159" s="6"/>
      <c r="C159" s="12" t="str">
        <f aca="false">IF(B159="","",IFERROR(INDEX('Gold Registry'!$B$4:$B$103,MATCH(B159,'Gold Registry'!$A$4:$A$103,0)),"Not found"))</f>
        <v/>
      </c>
      <c r="D159" s="6"/>
      <c r="E159" s="13" t="str">
        <f aca="false">IF(D159="","",IFERROR(INDEX('Reference Tables'!$B$3:$B$8,MATCH(D159,'Reference Tables'!$A$3:$A$8,0)),"Invalid package"))</f>
        <v/>
      </c>
      <c r="F159" s="12" t="str">
        <f aca="false">IF(D159="","",IFERROR(INDEX('Reference Tables'!$C$3:$C$8,MATCH(D159,'Reference Tables'!$A$3:$A$8,0)),"Invalid package"))</f>
        <v/>
      </c>
      <c r="G159" s="14" t="str">
        <f aca="false">IF(E159="","",'Reference Tables'!$C$15)</f>
        <v/>
      </c>
      <c r="H159" s="12" t="str">
        <f aca="false">IF(E159="","",IF(E159&gt;=150,"Yes","No"))</f>
        <v/>
      </c>
      <c r="I159" s="13" t="str">
        <f aca="false">IF(E159="","",IF(H159="Yes",E159*G159,0))</f>
        <v/>
      </c>
      <c r="J159" s="13" t="str">
        <f aca="false">IF(E159="","",E159-I159)</f>
        <v/>
      </c>
      <c r="K159" s="6"/>
      <c r="L159" s="6"/>
    </row>
    <row r="160" customFormat="false" ht="15" hidden="false" customHeight="false" outlineLevel="0" collapsed="false">
      <c r="A160" s="11"/>
      <c r="B160" s="6"/>
      <c r="C160" s="12" t="str">
        <f aca="false">IF(B160="","",IFERROR(INDEX('Gold Registry'!$B$4:$B$103,MATCH(B160,'Gold Registry'!$A$4:$A$103,0)),"Not found"))</f>
        <v/>
      </c>
      <c r="D160" s="6"/>
      <c r="E160" s="13" t="str">
        <f aca="false">IF(D160="","",IFERROR(INDEX('Reference Tables'!$B$3:$B$8,MATCH(D160,'Reference Tables'!$A$3:$A$8,0)),"Invalid package"))</f>
        <v/>
      </c>
      <c r="F160" s="12" t="str">
        <f aca="false">IF(D160="","",IFERROR(INDEX('Reference Tables'!$C$3:$C$8,MATCH(D160,'Reference Tables'!$A$3:$A$8,0)),"Invalid package"))</f>
        <v/>
      </c>
      <c r="G160" s="14" t="str">
        <f aca="false">IF(E160="","",'Reference Tables'!$C$15)</f>
        <v/>
      </c>
      <c r="H160" s="12" t="str">
        <f aca="false">IF(E160="","",IF(E160&gt;=150,"Yes","No"))</f>
        <v/>
      </c>
      <c r="I160" s="13" t="str">
        <f aca="false">IF(E160="","",IF(H160="Yes",E160*G160,0))</f>
        <v/>
      </c>
      <c r="J160" s="13" t="str">
        <f aca="false">IF(E160="","",E160-I160)</f>
        <v/>
      </c>
      <c r="K160" s="6"/>
      <c r="L160" s="6"/>
    </row>
    <row r="161" customFormat="false" ht="15" hidden="false" customHeight="false" outlineLevel="0" collapsed="false">
      <c r="A161" s="11"/>
      <c r="B161" s="6"/>
      <c r="C161" s="12" t="str">
        <f aca="false">IF(B161="","",IFERROR(INDEX('Gold Registry'!$B$4:$B$103,MATCH(B161,'Gold Registry'!$A$4:$A$103,0)),"Not found"))</f>
        <v/>
      </c>
      <c r="D161" s="6"/>
      <c r="E161" s="13" t="str">
        <f aca="false">IF(D161="","",IFERROR(INDEX('Reference Tables'!$B$3:$B$8,MATCH(D161,'Reference Tables'!$A$3:$A$8,0)),"Invalid package"))</f>
        <v/>
      </c>
      <c r="F161" s="12" t="str">
        <f aca="false">IF(D161="","",IFERROR(INDEX('Reference Tables'!$C$3:$C$8,MATCH(D161,'Reference Tables'!$A$3:$A$8,0)),"Invalid package"))</f>
        <v/>
      </c>
      <c r="G161" s="14" t="str">
        <f aca="false">IF(E161="","",'Reference Tables'!$C$15)</f>
        <v/>
      </c>
      <c r="H161" s="12" t="str">
        <f aca="false">IF(E161="","",IF(E161&gt;=150,"Yes","No"))</f>
        <v/>
      </c>
      <c r="I161" s="13" t="str">
        <f aca="false">IF(E161="","",IF(H161="Yes",E161*G161,0))</f>
        <v/>
      </c>
      <c r="J161" s="13" t="str">
        <f aca="false">IF(E161="","",E161-I161)</f>
        <v/>
      </c>
      <c r="K161" s="6"/>
      <c r="L161" s="6"/>
    </row>
    <row r="162" customFormat="false" ht="15" hidden="false" customHeight="false" outlineLevel="0" collapsed="false">
      <c r="A162" s="11"/>
      <c r="B162" s="6"/>
      <c r="C162" s="12" t="str">
        <f aca="false">IF(B162="","",IFERROR(INDEX('Gold Registry'!$B$4:$B$103,MATCH(B162,'Gold Registry'!$A$4:$A$103,0)),"Not found"))</f>
        <v/>
      </c>
      <c r="D162" s="6"/>
      <c r="E162" s="13" t="str">
        <f aca="false">IF(D162="","",IFERROR(INDEX('Reference Tables'!$B$3:$B$8,MATCH(D162,'Reference Tables'!$A$3:$A$8,0)),"Invalid package"))</f>
        <v/>
      </c>
      <c r="F162" s="12" t="str">
        <f aca="false">IF(D162="","",IFERROR(INDEX('Reference Tables'!$C$3:$C$8,MATCH(D162,'Reference Tables'!$A$3:$A$8,0)),"Invalid package"))</f>
        <v/>
      </c>
      <c r="G162" s="14" t="str">
        <f aca="false">IF(E162="","",'Reference Tables'!$C$15)</f>
        <v/>
      </c>
      <c r="H162" s="12" t="str">
        <f aca="false">IF(E162="","",IF(E162&gt;=150,"Yes","No"))</f>
        <v/>
      </c>
      <c r="I162" s="13" t="str">
        <f aca="false">IF(E162="","",IF(H162="Yes",E162*G162,0))</f>
        <v/>
      </c>
      <c r="J162" s="13" t="str">
        <f aca="false">IF(E162="","",E162-I162)</f>
        <v/>
      </c>
      <c r="K162" s="6"/>
      <c r="L162" s="6"/>
    </row>
    <row r="163" customFormat="false" ht="15" hidden="false" customHeight="false" outlineLevel="0" collapsed="false">
      <c r="A163" s="11"/>
      <c r="B163" s="6"/>
      <c r="C163" s="12" t="str">
        <f aca="false">IF(B163="","",IFERROR(INDEX('Gold Registry'!$B$4:$B$103,MATCH(B163,'Gold Registry'!$A$4:$A$103,0)),"Not found"))</f>
        <v/>
      </c>
      <c r="D163" s="6"/>
      <c r="E163" s="13" t="str">
        <f aca="false">IF(D163="","",IFERROR(INDEX('Reference Tables'!$B$3:$B$8,MATCH(D163,'Reference Tables'!$A$3:$A$8,0)),"Invalid package"))</f>
        <v/>
      </c>
      <c r="F163" s="12" t="str">
        <f aca="false">IF(D163="","",IFERROR(INDEX('Reference Tables'!$C$3:$C$8,MATCH(D163,'Reference Tables'!$A$3:$A$8,0)),"Invalid package"))</f>
        <v/>
      </c>
      <c r="G163" s="14" t="str">
        <f aca="false">IF(E163="","",'Reference Tables'!$C$15)</f>
        <v/>
      </c>
      <c r="H163" s="12" t="str">
        <f aca="false">IF(E163="","",IF(E163&gt;=150,"Yes","No"))</f>
        <v/>
      </c>
      <c r="I163" s="13" t="str">
        <f aca="false">IF(E163="","",IF(H163="Yes",E163*G163,0))</f>
        <v/>
      </c>
      <c r="J163" s="13" t="str">
        <f aca="false">IF(E163="","",E163-I163)</f>
        <v/>
      </c>
      <c r="K163" s="6"/>
      <c r="L163" s="6"/>
    </row>
    <row r="164" customFormat="false" ht="15" hidden="false" customHeight="false" outlineLevel="0" collapsed="false">
      <c r="A164" s="11"/>
      <c r="B164" s="6"/>
      <c r="C164" s="12" t="str">
        <f aca="false">IF(B164="","",IFERROR(INDEX('Gold Registry'!$B$4:$B$103,MATCH(B164,'Gold Registry'!$A$4:$A$103,0)),"Not found"))</f>
        <v/>
      </c>
      <c r="D164" s="6"/>
      <c r="E164" s="13" t="str">
        <f aca="false">IF(D164="","",IFERROR(INDEX('Reference Tables'!$B$3:$B$8,MATCH(D164,'Reference Tables'!$A$3:$A$8,0)),"Invalid package"))</f>
        <v/>
      </c>
      <c r="F164" s="12" t="str">
        <f aca="false">IF(D164="","",IFERROR(INDEX('Reference Tables'!$C$3:$C$8,MATCH(D164,'Reference Tables'!$A$3:$A$8,0)),"Invalid package"))</f>
        <v/>
      </c>
      <c r="G164" s="14" t="str">
        <f aca="false">IF(E164="","",'Reference Tables'!$C$15)</f>
        <v/>
      </c>
      <c r="H164" s="12" t="str">
        <f aca="false">IF(E164="","",IF(E164&gt;=150,"Yes","No"))</f>
        <v/>
      </c>
      <c r="I164" s="13" t="str">
        <f aca="false">IF(E164="","",IF(H164="Yes",E164*G164,0))</f>
        <v/>
      </c>
      <c r="J164" s="13" t="str">
        <f aca="false">IF(E164="","",E164-I164)</f>
        <v/>
      </c>
      <c r="K164" s="6"/>
      <c r="L164" s="6"/>
    </row>
    <row r="165" customFormat="false" ht="15" hidden="false" customHeight="false" outlineLevel="0" collapsed="false">
      <c r="A165" s="11"/>
      <c r="B165" s="6"/>
      <c r="C165" s="12" t="str">
        <f aca="false">IF(B165="","",IFERROR(INDEX('Gold Registry'!$B$4:$B$103,MATCH(B165,'Gold Registry'!$A$4:$A$103,0)),"Not found"))</f>
        <v/>
      </c>
      <c r="D165" s="6"/>
      <c r="E165" s="13" t="str">
        <f aca="false">IF(D165="","",IFERROR(INDEX('Reference Tables'!$B$3:$B$8,MATCH(D165,'Reference Tables'!$A$3:$A$8,0)),"Invalid package"))</f>
        <v/>
      </c>
      <c r="F165" s="12" t="str">
        <f aca="false">IF(D165="","",IFERROR(INDEX('Reference Tables'!$C$3:$C$8,MATCH(D165,'Reference Tables'!$A$3:$A$8,0)),"Invalid package"))</f>
        <v/>
      </c>
      <c r="G165" s="14" t="str">
        <f aca="false">IF(E165="","",'Reference Tables'!$C$15)</f>
        <v/>
      </c>
      <c r="H165" s="12" t="str">
        <f aca="false">IF(E165="","",IF(E165&gt;=150,"Yes","No"))</f>
        <v/>
      </c>
      <c r="I165" s="13" t="str">
        <f aca="false">IF(E165="","",IF(H165="Yes",E165*G165,0))</f>
        <v/>
      </c>
      <c r="J165" s="13" t="str">
        <f aca="false">IF(E165="","",E165-I165)</f>
        <v/>
      </c>
      <c r="K165" s="6"/>
      <c r="L165" s="6"/>
    </row>
    <row r="166" customFormat="false" ht="15" hidden="false" customHeight="false" outlineLevel="0" collapsed="false">
      <c r="A166" s="11"/>
      <c r="B166" s="6"/>
      <c r="C166" s="12" t="str">
        <f aca="false">IF(B166="","",IFERROR(INDEX('Gold Registry'!$B$4:$B$103,MATCH(B166,'Gold Registry'!$A$4:$A$103,0)),"Not found"))</f>
        <v/>
      </c>
      <c r="D166" s="6"/>
      <c r="E166" s="13" t="str">
        <f aca="false">IF(D166="","",IFERROR(INDEX('Reference Tables'!$B$3:$B$8,MATCH(D166,'Reference Tables'!$A$3:$A$8,0)),"Invalid package"))</f>
        <v/>
      </c>
      <c r="F166" s="12" t="str">
        <f aca="false">IF(D166="","",IFERROR(INDEX('Reference Tables'!$C$3:$C$8,MATCH(D166,'Reference Tables'!$A$3:$A$8,0)),"Invalid package"))</f>
        <v/>
      </c>
      <c r="G166" s="14" t="str">
        <f aca="false">IF(E166="","",'Reference Tables'!$C$15)</f>
        <v/>
      </c>
      <c r="H166" s="12" t="str">
        <f aca="false">IF(E166="","",IF(E166&gt;=150,"Yes","No"))</f>
        <v/>
      </c>
      <c r="I166" s="13" t="str">
        <f aca="false">IF(E166="","",IF(H166="Yes",E166*G166,0))</f>
        <v/>
      </c>
      <c r="J166" s="13" t="str">
        <f aca="false">IF(E166="","",E166-I166)</f>
        <v/>
      </c>
      <c r="K166" s="6"/>
      <c r="L166" s="6"/>
    </row>
    <row r="167" customFormat="false" ht="15" hidden="false" customHeight="false" outlineLevel="0" collapsed="false">
      <c r="A167" s="11"/>
      <c r="B167" s="6"/>
      <c r="C167" s="12" t="str">
        <f aca="false">IF(B167="","",IFERROR(INDEX('Gold Registry'!$B$4:$B$103,MATCH(B167,'Gold Registry'!$A$4:$A$103,0)),"Not found"))</f>
        <v/>
      </c>
      <c r="D167" s="6"/>
      <c r="E167" s="13" t="str">
        <f aca="false">IF(D167="","",IFERROR(INDEX('Reference Tables'!$B$3:$B$8,MATCH(D167,'Reference Tables'!$A$3:$A$8,0)),"Invalid package"))</f>
        <v/>
      </c>
      <c r="F167" s="12" t="str">
        <f aca="false">IF(D167="","",IFERROR(INDEX('Reference Tables'!$C$3:$C$8,MATCH(D167,'Reference Tables'!$A$3:$A$8,0)),"Invalid package"))</f>
        <v/>
      </c>
      <c r="G167" s="14" t="str">
        <f aca="false">IF(E167="","",'Reference Tables'!$C$15)</f>
        <v/>
      </c>
      <c r="H167" s="12" t="str">
        <f aca="false">IF(E167="","",IF(E167&gt;=150,"Yes","No"))</f>
        <v/>
      </c>
      <c r="I167" s="13" t="str">
        <f aca="false">IF(E167="","",IF(H167="Yes",E167*G167,0))</f>
        <v/>
      </c>
      <c r="J167" s="13" t="str">
        <f aca="false">IF(E167="","",E167-I167)</f>
        <v/>
      </c>
      <c r="K167" s="6"/>
      <c r="L167" s="6"/>
    </row>
    <row r="168" customFormat="false" ht="15" hidden="false" customHeight="false" outlineLevel="0" collapsed="false">
      <c r="A168" s="11"/>
      <c r="B168" s="6"/>
      <c r="C168" s="12" t="str">
        <f aca="false">IF(B168="","",IFERROR(INDEX('Gold Registry'!$B$4:$B$103,MATCH(B168,'Gold Registry'!$A$4:$A$103,0)),"Not found"))</f>
        <v/>
      </c>
      <c r="D168" s="6"/>
      <c r="E168" s="13" t="str">
        <f aca="false">IF(D168="","",IFERROR(INDEX('Reference Tables'!$B$3:$B$8,MATCH(D168,'Reference Tables'!$A$3:$A$8,0)),"Invalid package"))</f>
        <v/>
      </c>
      <c r="F168" s="12" t="str">
        <f aca="false">IF(D168="","",IFERROR(INDEX('Reference Tables'!$C$3:$C$8,MATCH(D168,'Reference Tables'!$A$3:$A$8,0)),"Invalid package"))</f>
        <v/>
      </c>
      <c r="G168" s="14" t="str">
        <f aca="false">IF(E168="","",'Reference Tables'!$C$15)</f>
        <v/>
      </c>
      <c r="H168" s="12" t="str">
        <f aca="false">IF(E168="","",IF(E168&gt;=150,"Yes","No"))</f>
        <v/>
      </c>
      <c r="I168" s="13" t="str">
        <f aca="false">IF(E168="","",IF(H168="Yes",E168*G168,0))</f>
        <v/>
      </c>
      <c r="J168" s="13" t="str">
        <f aca="false">IF(E168="","",E168-I168)</f>
        <v/>
      </c>
      <c r="K168" s="6"/>
      <c r="L168" s="6"/>
    </row>
    <row r="169" customFormat="false" ht="15" hidden="false" customHeight="false" outlineLevel="0" collapsed="false">
      <c r="A169" s="11"/>
      <c r="B169" s="6"/>
      <c r="C169" s="12" t="str">
        <f aca="false">IF(B169="","",IFERROR(INDEX('Gold Registry'!$B$4:$B$103,MATCH(B169,'Gold Registry'!$A$4:$A$103,0)),"Not found"))</f>
        <v/>
      </c>
      <c r="D169" s="6"/>
      <c r="E169" s="13" t="str">
        <f aca="false">IF(D169="","",IFERROR(INDEX('Reference Tables'!$B$3:$B$8,MATCH(D169,'Reference Tables'!$A$3:$A$8,0)),"Invalid package"))</f>
        <v/>
      </c>
      <c r="F169" s="12" t="str">
        <f aca="false">IF(D169="","",IFERROR(INDEX('Reference Tables'!$C$3:$C$8,MATCH(D169,'Reference Tables'!$A$3:$A$8,0)),"Invalid package"))</f>
        <v/>
      </c>
      <c r="G169" s="14" t="str">
        <f aca="false">IF(E169="","",'Reference Tables'!$C$15)</f>
        <v/>
      </c>
      <c r="H169" s="12" t="str">
        <f aca="false">IF(E169="","",IF(E169&gt;=150,"Yes","No"))</f>
        <v/>
      </c>
      <c r="I169" s="13" t="str">
        <f aca="false">IF(E169="","",IF(H169="Yes",E169*G169,0))</f>
        <v/>
      </c>
      <c r="J169" s="13" t="str">
        <f aca="false">IF(E169="","",E169-I169)</f>
        <v/>
      </c>
      <c r="K169" s="6"/>
      <c r="L169" s="6"/>
    </row>
    <row r="170" customFormat="false" ht="15" hidden="false" customHeight="false" outlineLevel="0" collapsed="false">
      <c r="A170" s="11"/>
      <c r="B170" s="6"/>
      <c r="C170" s="12" t="str">
        <f aca="false">IF(B170="","",IFERROR(INDEX('Gold Registry'!$B$4:$B$103,MATCH(B170,'Gold Registry'!$A$4:$A$103,0)),"Not found"))</f>
        <v/>
      </c>
      <c r="D170" s="6"/>
      <c r="E170" s="13" t="str">
        <f aca="false">IF(D170="","",IFERROR(INDEX('Reference Tables'!$B$3:$B$8,MATCH(D170,'Reference Tables'!$A$3:$A$8,0)),"Invalid package"))</f>
        <v/>
      </c>
      <c r="F170" s="12" t="str">
        <f aca="false">IF(D170="","",IFERROR(INDEX('Reference Tables'!$C$3:$C$8,MATCH(D170,'Reference Tables'!$A$3:$A$8,0)),"Invalid package"))</f>
        <v/>
      </c>
      <c r="G170" s="14" t="str">
        <f aca="false">IF(E170="","",'Reference Tables'!$C$15)</f>
        <v/>
      </c>
      <c r="H170" s="12" t="str">
        <f aca="false">IF(E170="","",IF(E170&gt;=150,"Yes","No"))</f>
        <v/>
      </c>
      <c r="I170" s="13" t="str">
        <f aca="false">IF(E170="","",IF(H170="Yes",E170*G170,0))</f>
        <v/>
      </c>
      <c r="J170" s="13" t="str">
        <f aca="false">IF(E170="","",E170-I170)</f>
        <v/>
      </c>
      <c r="K170" s="6"/>
      <c r="L170" s="6"/>
    </row>
    <row r="171" customFormat="false" ht="15" hidden="false" customHeight="false" outlineLevel="0" collapsed="false">
      <c r="A171" s="11"/>
      <c r="B171" s="6"/>
      <c r="C171" s="12" t="str">
        <f aca="false">IF(B171="","",IFERROR(INDEX('Gold Registry'!$B$4:$B$103,MATCH(B171,'Gold Registry'!$A$4:$A$103,0)),"Not found"))</f>
        <v/>
      </c>
      <c r="D171" s="6"/>
      <c r="E171" s="13" t="str">
        <f aca="false">IF(D171="","",IFERROR(INDEX('Reference Tables'!$B$3:$B$8,MATCH(D171,'Reference Tables'!$A$3:$A$8,0)),"Invalid package"))</f>
        <v/>
      </c>
      <c r="F171" s="12" t="str">
        <f aca="false">IF(D171="","",IFERROR(INDEX('Reference Tables'!$C$3:$C$8,MATCH(D171,'Reference Tables'!$A$3:$A$8,0)),"Invalid package"))</f>
        <v/>
      </c>
      <c r="G171" s="14" t="str">
        <f aca="false">IF(E171="","",'Reference Tables'!$C$15)</f>
        <v/>
      </c>
      <c r="H171" s="12" t="str">
        <f aca="false">IF(E171="","",IF(E171&gt;=150,"Yes","No"))</f>
        <v/>
      </c>
      <c r="I171" s="13" t="str">
        <f aca="false">IF(E171="","",IF(H171="Yes",E171*G171,0))</f>
        <v/>
      </c>
      <c r="J171" s="13" t="str">
        <f aca="false">IF(E171="","",E171-I171)</f>
        <v/>
      </c>
      <c r="K171" s="6"/>
      <c r="L171" s="6"/>
    </row>
    <row r="172" customFormat="false" ht="15" hidden="false" customHeight="false" outlineLevel="0" collapsed="false">
      <c r="A172" s="11"/>
      <c r="B172" s="6"/>
      <c r="C172" s="12" t="str">
        <f aca="false">IF(B172="","",IFERROR(INDEX('Gold Registry'!$B$4:$B$103,MATCH(B172,'Gold Registry'!$A$4:$A$103,0)),"Not found"))</f>
        <v/>
      </c>
      <c r="D172" s="6"/>
      <c r="E172" s="13" t="str">
        <f aca="false">IF(D172="","",IFERROR(INDEX('Reference Tables'!$B$3:$B$8,MATCH(D172,'Reference Tables'!$A$3:$A$8,0)),"Invalid package"))</f>
        <v/>
      </c>
      <c r="F172" s="12" t="str">
        <f aca="false">IF(D172="","",IFERROR(INDEX('Reference Tables'!$C$3:$C$8,MATCH(D172,'Reference Tables'!$A$3:$A$8,0)),"Invalid package"))</f>
        <v/>
      </c>
      <c r="G172" s="14" t="str">
        <f aca="false">IF(E172="","",'Reference Tables'!$C$15)</f>
        <v/>
      </c>
      <c r="H172" s="12" t="str">
        <f aca="false">IF(E172="","",IF(E172&gt;=150,"Yes","No"))</f>
        <v/>
      </c>
      <c r="I172" s="13" t="str">
        <f aca="false">IF(E172="","",IF(H172="Yes",E172*G172,0))</f>
        <v/>
      </c>
      <c r="J172" s="13" t="str">
        <f aca="false">IF(E172="","",E172-I172)</f>
        <v/>
      </c>
      <c r="K172" s="6"/>
      <c r="L172" s="6"/>
    </row>
    <row r="173" customFormat="false" ht="15" hidden="false" customHeight="false" outlineLevel="0" collapsed="false">
      <c r="A173" s="11"/>
      <c r="B173" s="6"/>
      <c r="C173" s="12" t="str">
        <f aca="false">IF(B173="","",IFERROR(INDEX('Gold Registry'!$B$4:$B$103,MATCH(B173,'Gold Registry'!$A$4:$A$103,0)),"Not found"))</f>
        <v/>
      </c>
      <c r="D173" s="6"/>
      <c r="E173" s="13" t="str">
        <f aca="false">IF(D173="","",IFERROR(INDEX('Reference Tables'!$B$3:$B$8,MATCH(D173,'Reference Tables'!$A$3:$A$8,0)),"Invalid package"))</f>
        <v/>
      </c>
      <c r="F173" s="12" t="str">
        <f aca="false">IF(D173="","",IFERROR(INDEX('Reference Tables'!$C$3:$C$8,MATCH(D173,'Reference Tables'!$A$3:$A$8,0)),"Invalid package"))</f>
        <v/>
      </c>
      <c r="G173" s="14" t="str">
        <f aca="false">IF(E173="","",'Reference Tables'!$C$15)</f>
        <v/>
      </c>
      <c r="H173" s="12" t="str">
        <f aca="false">IF(E173="","",IF(E173&gt;=150,"Yes","No"))</f>
        <v/>
      </c>
      <c r="I173" s="13" t="str">
        <f aca="false">IF(E173="","",IF(H173="Yes",E173*G173,0))</f>
        <v/>
      </c>
      <c r="J173" s="13" t="str">
        <f aca="false">IF(E173="","",E173-I173)</f>
        <v/>
      </c>
      <c r="K173" s="6"/>
      <c r="L173" s="6"/>
    </row>
    <row r="174" customFormat="false" ht="15" hidden="false" customHeight="false" outlineLevel="0" collapsed="false">
      <c r="A174" s="11"/>
      <c r="B174" s="6"/>
      <c r="C174" s="12" t="str">
        <f aca="false">IF(B174="","",IFERROR(INDEX('Gold Registry'!$B$4:$B$103,MATCH(B174,'Gold Registry'!$A$4:$A$103,0)),"Not found"))</f>
        <v/>
      </c>
      <c r="D174" s="6"/>
      <c r="E174" s="13" t="str">
        <f aca="false">IF(D174="","",IFERROR(INDEX('Reference Tables'!$B$3:$B$8,MATCH(D174,'Reference Tables'!$A$3:$A$8,0)),"Invalid package"))</f>
        <v/>
      </c>
      <c r="F174" s="12" t="str">
        <f aca="false">IF(D174="","",IFERROR(INDEX('Reference Tables'!$C$3:$C$8,MATCH(D174,'Reference Tables'!$A$3:$A$8,0)),"Invalid package"))</f>
        <v/>
      </c>
      <c r="G174" s="14" t="str">
        <f aca="false">IF(E174="","",'Reference Tables'!$C$15)</f>
        <v/>
      </c>
      <c r="H174" s="12" t="str">
        <f aca="false">IF(E174="","",IF(E174&gt;=150,"Yes","No"))</f>
        <v/>
      </c>
      <c r="I174" s="13" t="str">
        <f aca="false">IF(E174="","",IF(H174="Yes",E174*G174,0))</f>
        <v/>
      </c>
      <c r="J174" s="13" t="str">
        <f aca="false">IF(E174="","",E174-I174)</f>
        <v/>
      </c>
      <c r="K174" s="6"/>
      <c r="L174" s="6"/>
    </row>
    <row r="175" customFormat="false" ht="15" hidden="false" customHeight="false" outlineLevel="0" collapsed="false">
      <c r="A175" s="11"/>
      <c r="B175" s="6"/>
      <c r="C175" s="12" t="str">
        <f aca="false">IF(B175="","",IFERROR(INDEX('Gold Registry'!$B$4:$B$103,MATCH(B175,'Gold Registry'!$A$4:$A$103,0)),"Not found"))</f>
        <v/>
      </c>
      <c r="D175" s="6"/>
      <c r="E175" s="13" t="str">
        <f aca="false">IF(D175="","",IFERROR(INDEX('Reference Tables'!$B$3:$B$8,MATCH(D175,'Reference Tables'!$A$3:$A$8,0)),"Invalid package"))</f>
        <v/>
      </c>
      <c r="F175" s="12" t="str">
        <f aca="false">IF(D175="","",IFERROR(INDEX('Reference Tables'!$C$3:$C$8,MATCH(D175,'Reference Tables'!$A$3:$A$8,0)),"Invalid package"))</f>
        <v/>
      </c>
      <c r="G175" s="14" t="str">
        <f aca="false">IF(E175="","",'Reference Tables'!$C$15)</f>
        <v/>
      </c>
      <c r="H175" s="12" t="str">
        <f aca="false">IF(E175="","",IF(E175&gt;=150,"Yes","No"))</f>
        <v/>
      </c>
      <c r="I175" s="13" t="str">
        <f aca="false">IF(E175="","",IF(H175="Yes",E175*G175,0))</f>
        <v/>
      </c>
      <c r="J175" s="13" t="str">
        <f aca="false">IF(E175="","",E175-I175)</f>
        <v/>
      </c>
      <c r="K175" s="6"/>
      <c r="L175" s="6"/>
    </row>
    <row r="176" customFormat="false" ht="15" hidden="false" customHeight="false" outlineLevel="0" collapsed="false">
      <c r="A176" s="11"/>
      <c r="B176" s="6"/>
      <c r="C176" s="12" t="str">
        <f aca="false">IF(B176="","",IFERROR(INDEX('Gold Registry'!$B$4:$B$103,MATCH(B176,'Gold Registry'!$A$4:$A$103,0)),"Not found"))</f>
        <v/>
      </c>
      <c r="D176" s="6"/>
      <c r="E176" s="13" t="str">
        <f aca="false">IF(D176="","",IFERROR(INDEX('Reference Tables'!$B$3:$B$8,MATCH(D176,'Reference Tables'!$A$3:$A$8,0)),"Invalid package"))</f>
        <v/>
      </c>
      <c r="F176" s="12" t="str">
        <f aca="false">IF(D176="","",IFERROR(INDEX('Reference Tables'!$C$3:$C$8,MATCH(D176,'Reference Tables'!$A$3:$A$8,0)),"Invalid package"))</f>
        <v/>
      </c>
      <c r="G176" s="14" t="str">
        <f aca="false">IF(E176="","",'Reference Tables'!$C$15)</f>
        <v/>
      </c>
      <c r="H176" s="12" t="str">
        <f aca="false">IF(E176="","",IF(E176&gt;=150,"Yes","No"))</f>
        <v/>
      </c>
      <c r="I176" s="13" t="str">
        <f aca="false">IF(E176="","",IF(H176="Yes",E176*G176,0))</f>
        <v/>
      </c>
      <c r="J176" s="13" t="str">
        <f aca="false">IF(E176="","",E176-I176)</f>
        <v/>
      </c>
      <c r="K176" s="6"/>
      <c r="L176" s="6"/>
    </row>
    <row r="177" customFormat="false" ht="15" hidden="false" customHeight="false" outlineLevel="0" collapsed="false">
      <c r="A177" s="11"/>
      <c r="B177" s="6"/>
      <c r="C177" s="12" t="str">
        <f aca="false">IF(B177="","",IFERROR(INDEX('Gold Registry'!$B$4:$B$103,MATCH(B177,'Gold Registry'!$A$4:$A$103,0)),"Not found"))</f>
        <v/>
      </c>
      <c r="D177" s="6"/>
      <c r="E177" s="13" t="str">
        <f aca="false">IF(D177="","",IFERROR(INDEX('Reference Tables'!$B$3:$B$8,MATCH(D177,'Reference Tables'!$A$3:$A$8,0)),"Invalid package"))</f>
        <v/>
      </c>
      <c r="F177" s="12" t="str">
        <f aca="false">IF(D177="","",IFERROR(INDEX('Reference Tables'!$C$3:$C$8,MATCH(D177,'Reference Tables'!$A$3:$A$8,0)),"Invalid package"))</f>
        <v/>
      </c>
      <c r="G177" s="14" t="str">
        <f aca="false">IF(E177="","",'Reference Tables'!$C$15)</f>
        <v/>
      </c>
      <c r="H177" s="12" t="str">
        <f aca="false">IF(E177="","",IF(E177&gt;=150,"Yes","No"))</f>
        <v/>
      </c>
      <c r="I177" s="13" t="str">
        <f aca="false">IF(E177="","",IF(H177="Yes",E177*G177,0))</f>
        <v/>
      </c>
      <c r="J177" s="13" t="str">
        <f aca="false">IF(E177="","",E177-I177)</f>
        <v/>
      </c>
      <c r="K177" s="6"/>
      <c r="L177" s="6"/>
    </row>
    <row r="178" customFormat="false" ht="15" hidden="false" customHeight="false" outlineLevel="0" collapsed="false">
      <c r="A178" s="11"/>
      <c r="B178" s="6"/>
      <c r="C178" s="12" t="str">
        <f aca="false">IF(B178="","",IFERROR(INDEX('Gold Registry'!$B$4:$B$103,MATCH(B178,'Gold Registry'!$A$4:$A$103,0)),"Not found"))</f>
        <v/>
      </c>
      <c r="D178" s="6"/>
      <c r="E178" s="13" t="str">
        <f aca="false">IF(D178="","",IFERROR(INDEX('Reference Tables'!$B$3:$B$8,MATCH(D178,'Reference Tables'!$A$3:$A$8,0)),"Invalid package"))</f>
        <v/>
      </c>
      <c r="F178" s="12" t="str">
        <f aca="false">IF(D178="","",IFERROR(INDEX('Reference Tables'!$C$3:$C$8,MATCH(D178,'Reference Tables'!$A$3:$A$8,0)),"Invalid package"))</f>
        <v/>
      </c>
      <c r="G178" s="14" t="str">
        <f aca="false">IF(E178="","",'Reference Tables'!$C$15)</f>
        <v/>
      </c>
      <c r="H178" s="12" t="str">
        <f aca="false">IF(E178="","",IF(E178&gt;=150,"Yes","No"))</f>
        <v/>
      </c>
      <c r="I178" s="13" t="str">
        <f aca="false">IF(E178="","",IF(H178="Yes",E178*G178,0))</f>
        <v/>
      </c>
      <c r="J178" s="13" t="str">
        <f aca="false">IF(E178="","",E178-I178)</f>
        <v/>
      </c>
      <c r="K178" s="6"/>
      <c r="L178" s="6"/>
    </row>
    <row r="179" customFormat="false" ht="15" hidden="false" customHeight="false" outlineLevel="0" collapsed="false">
      <c r="A179" s="11"/>
      <c r="B179" s="6"/>
      <c r="C179" s="12" t="str">
        <f aca="false">IF(B179="","",IFERROR(INDEX('Gold Registry'!$B$4:$B$103,MATCH(B179,'Gold Registry'!$A$4:$A$103,0)),"Not found"))</f>
        <v/>
      </c>
      <c r="D179" s="6"/>
      <c r="E179" s="13" t="str">
        <f aca="false">IF(D179="","",IFERROR(INDEX('Reference Tables'!$B$3:$B$8,MATCH(D179,'Reference Tables'!$A$3:$A$8,0)),"Invalid package"))</f>
        <v/>
      </c>
      <c r="F179" s="12" t="str">
        <f aca="false">IF(D179="","",IFERROR(INDEX('Reference Tables'!$C$3:$C$8,MATCH(D179,'Reference Tables'!$A$3:$A$8,0)),"Invalid package"))</f>
        <v/>
      </c>
      <c r="G179" s="14" t="str">
        <f aca="false">IF(E179="","",'Reference Tables'!$C$15)</f>
        <v/>
      </c>
      <c r="H179" s="12" t="str">
        <f aca="false">IF(E179="","",IF(E179&gt;=150,"Yes","No"))</f>
        <v/>
      </c>
      <c r="I179" s="13" t="str">
        <f aca="false">IF(E179="","",IF(H179="Yes",E179*G179,0))</f>
        <v/>
      </c>
      <c r="J179" s="13" t="str">
        <f aca="false">IF(E179="","",E179-I179)</f>
        <v/>
      </c>
      <c r="K179" s="6"/>
      <c r="L179" s="6"/>
    </row>
    <row r="180" customFormat="false" ht="15" hidden="false" customHeight="false" outlineLevel="0" collapsed="false">
      <c r="A180" s="11"/>
      <c r="B180" s="6"/>
      <c r="C180" s="12" t="str">
        <f aca="false">IF(B180="","",IFERROR(INDEX('Gold Registry'!$B$4:$B$103,MATCH(B180,'Gold Registry'!$A$4:$A$103,0)),"Not found"))</f>
        <v/>
      </c>
      <c r="D180" s="6"/>
      <c r="E180" s="13" t="str">
        <f aca="false">IF(D180="","",IFERROR(INDEX('Reference Tables'!$B$3:$B$8,MATCH(D180,'Reference Tables'!$A$3:$A$8,0)),"Invalid package"))</f>
        <v/>
      </c>
      <c r="F180" s="12" t="str">
        <f aca="false">IF(D180="","",IFERROR(INDEX('Reference Tables'!$C$3:$C$8,MATCH(D180,'Reference Tables'!$A$3:$A$8,0)),"Invalid package"))</f>
        <v/>
      </c>
      <c r="G180" s="14" t="str">
        <f aca="false">IF(E180="","",'Reference Tables'!$C$15)</f>
        <v/>
      </c>
      <c r="H180" s="12" t="str">
        <f aca="false">IF(E180="","",IF(E180&gt;=150,"Yes","No"))</f>
        <v/>
      </c>
      <c r="I180" s="13" t="str">
        <f aca="false">IF(E180="","",IF(H180="Yes",E180*G180,0))</f>
        <v/>
      </c>
      <c r="J180" s="13" t="str">
        <f aca="false">IF(E180="","",E180-I180)</f>
        <v/>
      </c>
      <c r="K180" s="6"/>
      <c r="L180" s="6"/>
    </row>
    <row r="181" customFormat="false" ht="15" hidden="false" customHeight="false" outlineLevel="0" collapsed="false">
      <c r="A181" s="11"/>
      <c r="B181" s="6"/>
      <c r="C181" s="12" t="str">
        <f aca="false">IF(B181="","",IFERROR(INDEX('Gold Registry'!$B$4:$B$103,MATCH(B181,'Gold Registry'!$A$4:$A$103,0)),"Not found"))</f>
        <v/>
      </c>
      <c r="D181" s="6"/>
      <c r="E181" s="13" t="str">
        <f aca="false">IF(D181="","",IFERROR(INDEX('Reference Tables'!$B$3:$B$8,MATCH(D181,'Reference Tables'!$A$3:$A$8,0)),"Invalid package"))</f>
        <v/>
      </c>
      <c r="F181" s="12" t="str">
        <f aca="false">IF(D181="","",IFERROR(INDEX('Reference Tables'!$C$3:$C$8,MATCH(D181,'Reference Tables'!$A$3:$A$8,0)),"Invalid package"))</f>
        <v/>
      </c>
      <c r="G181" s="14" t="str">
        <f aca="false">IF(E181="","",'Reference Tables'!$C$15)</f>
        <v/>
      </c>
      <c r="H181" s="12" t="str">
        <f aca="false">IF(E181="","",IF(E181&gt;=150,"Yes","No"))</f>
        <v/>
      </c>
      <c r="I181" s="13" t="str">
        <f aca="false">IF(E181="","",IF(H181="Yes",E181*G181,0))</f>
        <v/>
      </c>
      <c r="J181" s="13" t="str">
        <f aca="false">IF(E181="","",E181-I181)</f>
        <v/>
      </c>
      <c r="K181" s="6"/>
      <c r="L181" s="6"/>
    </row>
    <row r="182" customFormat="false" ht="15" hidden="false" customHeight="false" outlineLevel="0" collapsed="false">
      <c r="A182" s="11"/>
      <c r="B182" s="6"/>
      <c r="C182" s="12" t="str">
        <f aca="false">IF(B182="","",IFERROR(INDEX('Gold Registry'!$B$4:$B$103,MATCH(B182,'Gold Registry'!$A$4:$A$103,0)),"Not found"))</f>
        <v/>
      </c>
      <c r="D182" s="6"/>
      <c r="E182" s="13" t="str">
        <f aca="false">IF(D182="","",IFERROR(INDEX('Reference Tables'!$B$3:$B$8,MATCH(D182,'Reference Tables'!$A$3:$A$8,0)),"Invalid package"))</f>
        <v/>
      </c>
      <c r="F182" s="12" t="str">
        <f aca="false">IF(D182="","",IFERROR(INDEX('Reference Tables'!$C$3:$C$8,MATCH(D182,'Reference Tables'!$A$3:$A$8,0)),"Invalid package"))</f>
        <v/>
      </c>
      <c r="G182" s="14" t="str">
        <f aca="false">IF(E182="","",'Reference Tables'!$C$15)</f>
        <v/>
      </c>
      <c r="H182" s="12" t="str">
        <f aca="false">IF(E182="","",IF(E182&gt;=150,"Yes","No"))</f>
        <v/>
      </c>
      <c r="I182" s="13" t="str">
        <f aca="false">IF(E182="","",IF(H182="Yes",E182*G182,0))</f>
        <v/>
      </c>
      <c r="J182" s="13" t="str">
        <f aca="false">IF(E182="","",E182-I182)</f>
        <v/>
      </c>
      <c r="K182" s="6"/>
      <c r="L182" s="6"/>
    </row>
    <row r="183" customFormat="false" ht="15" hidden="false" customHeight="false" outlineLevel="0" collapsed="false">
      <c r="A183" s="11"/>
      <c r="B183" s="6"/>
      <c r="C183" s="12" t="str">
        <f aca="false">IF(B183="","",IFERROR(INDEX('Gold Registry'!$B$4:$B$103,MATCH(B183,'Gold Registry'!$A$4:$A$103,0)),"Not found"))</f>
        <v/>
      </c>
      <c r="D183" s="6"/>
      <c r="E183" s="13" t="str">
        <f aca="false">IF(D183="","",IFERROR(INDEX('Reference Tables'!$B$3:$B$8,MATCH(D183,'Reference Tables'!$A$3:$A$8,0)),"Invalid package"))</f>
        <v/>
      </c>
      <c r="F183" s="12" t="str">
        <f aca="false">IF(D183="","",IFERROR(INDEX('Reference Tables'!$C$3:$C$8,MATCH(D183,'Reference Tables'!$A$3:$A$8,0)),"Invalid package"))</f>
        <v/>
      </c>
      <c r="G183" s="14" t="str">
        <f aca="false">IF(E183="","",'Reference Tables'!$C$15)</f>
        <v/>
      </c>
      <c r="H183" s="12" t="str">
        <f aca="false">IF(E183="","",IF(E183&gt;=150,"Yes","No"))</f>
        <v/>
      </c>
      <c r="I183" s="13" t="str">
        <f aca="false">IF(E183="","",IF(H183="Yes",E183*G183,0))</f>
        <v/>
      </c>
      <c r="J183" s="13" t="str">
        <f aca="false">IF(E183="","",E183-I183)</f>
        <v/>
      </c>
      <c r="K183" s="6"/>
      <c r="L183" s="6"/>
    </row>
    <row r="184" customFormat="false" ht="15" hidden="false" customHeight="false" outlineLevel="0" collapsed="false">
      <c r="A184" s="11"/>
      <c r="B184" s="6"/>
      <c r="C184" s="12" t="str">
        <f aca="false">IF(B184="","",IFERROR(INDEX('Gold Registry'!$B$4:$B$103,MATCH(B184,'Gold Registry'!$A$4:$A$103,0)),"Not found"))</f>
        <v/>
      </c>
      <c r="D184" s="6"/>
      <c r="E184" s="13" t="str">
        <f aca="false">IF(D184="","",IFERROR(INDEX('Reference Tables'!$B$3:$B$8,MATCH(D184,'Reference Tables'!$A$3:$A$8,0)),"Invalid package"))</f>
        <v/>
      </c>
      <c r="F184" s="12" t="str">
        <f aca="false">IF(D184="","",IFERROR(INDEX('Reference Tables'!$C$3:$C$8,MATCH(D184,'Reference Tables'!$A$3:$A$8,0)),"Invalid package"))</f>
        <v/>
      </c>
      <c r="G184" s="14" t="str">
        <f aca="false">IF(E184="","",'Reference Tables'!$C$15)</f>
        <v/>
      </c>
      <c r="H184" s="12" t="str">
        <f aca="false">IF(E184="","",IF(E184&gt;=150,"Yes","No"))</f>
        <v/>
      </c>
      <c r="I184" s="13" t="str">
        <f aca="false">IF(E184="","",IF(H184="Yes",E184*G184,0))</f>
        <v/>
      </c>
      <c r="J184" s="13" t="str">
        <f aca="false">IF(E184="","",E184-I184)</f>
        <v/>
      </c>
      <c r="K184" s="6"/>
      <c r="L184" s="6"/>
    </row>
    <row r="185" customFormat="false" ht="15" hidden="false" customHeight="false" outlineLevel="0" collapsed="false">
      <c r="A185" s="11"/>
      <c r="B185" s="6"/>
      <c r="C185" s="12" t="str">
        <f aca="false">IF(B185="","",IFERROR(INDEX('Gold Registry'!$B$4:$B$103,MATCH(B185,'Gold Registry'!$A$4:$A$103,0)),"Not found"))</f>
        <v/>
      </c>
      <c r="D185" s="6"/>
      <c r="E185" s="13" t="str">
        <f aca="false">IF(D185="","",IFERROR(INDEX('Reference Tables'!$B$3:$B$8,MATCH(D185,'Reference Tables'!$A$3:$A$8,0)),"Invalid package"))</f>
        <v/>
      </c>
      <c r="F185" s="12" t="str">
        <f aca="false">IF(D185="","",IFERROR(INDEX('Reference Tables'!$C$3:$C$8,MATCH(D185,'Reference Tables'!$A$3:$A$8,0)),"Invalid package"))</f>
        <v/>
      </c>
      <c r="G185" s="14" t="str">
        <f aca="false">IF(E185="","",'Reference Tables'!$C$15)</f>
        <v/>
      </c>
      <c r="H185" s="12" t="str">
        <f aca="false">IF(E185="","",IF(E185&gt;=150,"Yes","No"))</f>
        <v/>
      </c>
      <c r="I185" s="13" t="str">
        <f aca="false">IF(E185="","",IF(H185="Yes",E185*G185,0))</f>
        <v/>
      </c>
      <c r="J185" s="13" t="str">
        <f aca="false">IF(E185="","",E185-I185)</f>
        <v/>
      </c>
      <c r="K185" s="6"/>
      <c r="L185" s="6"/>
    </row>
    <row r="186" customFormat="false" ht="15" hidden="false" customHeight="false" outlineLevel="0" collapsed="false">
      <c r="A186" s="11"/>
      <c r="B186" s="6"/>
      <c r="C186" s="12" t="str">
        <f aca="false">IF(B186="","",IFERROR(INDEX('Gold Registry'!$B$4:$B$103,MATCH(B186,'Gold Registry'!$A$4:$A$103,0)),"Not found"))</f>
        <v/>
      </c>
      <c r="D186" s="6"/>
      <c r="E186" s="13" t="str">
        <f aca="false">IF(D186="","",IFERROR(INDEX('Reference Tables'!$B$3:$B$8,MATCH(D186,'Reference Tables'!$A$3:$A$8,0)),"Invalid package"))</f>
        <v/>
      </c>
      <c r="F186" s="12" t="str">
        <f aca="false">IF(D186="","",IFERROR(INDEX('Reference Tables'!$C$3:$C$8,MATCH(D186,'Reference Tables'!$A$3:$A$8,0)),"Invalid package"))</f>
        <v/>
      </c>
      <c r="G186" s="14" t="str">
        <f aca="false">IF(E186="","",'Reference Tables'!$C$15)</f>
        <v/>
      </c>
      <c r="H186" s="12" t="str">
        <f aca="false">IF(E186="","",IF(E186&gt;=150,"Yes","No"))</f>
        <v/>
      </c>
      <c r="I186" s="13" t="str">
        <f aca="false">IF(E186="","",IF(H186="Yes",E186*G186,0))</f>
        <v/>
      </c>
      <c r="J186" s="13" t="str">
        <f aca="false">IF(E186="","",E186-I186)</f>
        <v/>
      </c>
      <c r="K186" s="6"/>
      <c r="L186" s="6"/>
    </row>
    <row r="187" customFormat="false" ht="15" hidden="false" customHeight="false" outlineLevel="0" collapsed="false">
      <c r="A187" s="11"/>
      <c r="B187" s="6"/>
      <c r="C187" s="12" t="str">
        <f aca="false">IF(B187="","",IFERROR(INDEX('Gold Registry'!$B$4:$B$103,MATCH(B187,'Gold Registry'!$A$4:$A$103,0)),"Not found"))</f>
        <v/>
      </c>
      <c r="D187" s="6"/>
      <c r="E187" s="13" t="str">
        <f aca="false">IF(D187="","",IFERROR(INDEX('Reference Tables'!$B$3:$B$8,MATCH(D187,'Reference Tables'!$A$3:$A$8,0)),"Invalid package"))</f>
        <v/>
      </c>
      <c r="F187" s="12" t="str">
        <f aca="false">IF(D187="","",IFERROR(INDEX('Reference Tables'!$C$3:$C$8,MATCH(D187,'Reference Tables'!$A$3:$A$8,0)),"Invalid package"))</f>
        <v/>
      </c>
      <c r="G187" s="14" t="str">
        <f aca="false">IF(E187="","",'Reference Tables'!$C$15)</f>
        <v/>
      </c>
      <c r="H187" s="12" t="str">
        <f aca="false">IF(E187="","",IF(E187&gt;=150,"Yes","No"))</f>
        <v/>
      </c>
      <c r="I187" s="13" t="str">
        <f aca="false">IF(E187="","",IF(H187="Yes",E187*G187,0))</f>
        <v/>
      </c>
      <c r="J187" s="13" t="str">
        <f aca="false">IF(E187="","",E187-I187)</f>
        <v/>
      </c>
      <c r="K187" s="6"/>
      <c r="L187" s="6"/>
    </row>
    <row r="188" customFormat="false" ht="15" hidden="false" customHeight="false" outlineLevel="0" collapsed="false">
      <c r="A188" s="11"/>
      <c r="B188" s="6"/>
      <c r="C188" s="12" t="str">
        <f aca="false">IF(B188="","",IFERROR(INDEX('Gold Registry'!$B$4:$B$103,MATCH(B188,'Gold Registry'!$A$4:$A$103,0)),"Not found"))</f>
        <v/>
      </c>
      <c r="D188" s="6"/>
      <c r="E188" s="13" t="str">
        <f aca="false">IF(D188="","",IFERROR(INDEX('Reference Tables'!$B$3:$B$8,MATCH(D188,'Reference Tables'!$A$3:$A$8,0)),"Invalid package"))</f>
        <v/>
      </c>
      <c r="F188" s="12" t="str">
        <f aca="false">IF(D188="","",IFERROR(INDEX('Reference Tables'!$C$3:$C$8,MATCH(D188,'Reference Tables'!$A$3:$A$8,0)),"Invalid package"))</f>
        <v/>
      </c>
      <c r="G188" s="14" t="str">
        <f aca="false">IF(E188="","",'Reference Tables'!$C$15)</f>
        <v/>
      </c>
      <c r="H188" s="12" t="str">
        <f aca="false">IF(E188="","",IF(E188&gt;=150,"Yes","No"))</f>
        <v/>
      </c>
      <c r="I188" s="13" t="str">
        <f aca="false">IF(E188="","",IF(H188="Yes",E188*G188,0))</f>
        <v/>
      </c>
      <c r="J188" s="13" t="str">
        <f aca="false">IF(E188="","",E188-I188)</f>
        <v/>
      </c>
      <c r="K188" s="6"/>
      <c r="L188" s="6"/>
    </row>
    <row r="189" customFormat="false" ht="15" hidden="false" customHeight="false" outlineLevel="0" collapsed="false">
      <c r="A189" s="11"/>
      <c r="B189" s="6"/>
      <c r="C189" s="12" t="str">
        <f aca="false">IF(B189="","",IFERROR(INDEX('Gold Registry'!$B$4:$B$103,MATCH(B189,'Gold Registry'!$A$4:$A$103,0)),"Not found"))</f>
        <v/>
      </c>
      <c r="D189" s="6"/>
      <c r="E189" s="13" t="str">
        <f aca="false">IF(D189="","",IFERROR(INDEX('Reference Tables'!$B$3:$B$8,MATCH(D189,'Reference Tables'!$A$3:$A$8,0)),"Invalid package"))</f>
        <v/>
      </c>
      <c r="F189" s="12" t="str">
        <f aca="false">IF(D189="","",IFERROR(INDEX('Reference Tables'!$C$3:$C$8,MATCH(D189,'Reference Tables'!$A$3:$A$8,0)),"Invalid package"))</f>
        <v/>
      </c>
      <c r="G189" s="14" t="str">
        <f aca="false">IF(E189="","",'Reference Tables'!$C$15)</f>
        <v/>
      </c>
      <c r="H189" s="12" t="str">
        <f aca="false">IF(E189="","",IF(E189&gt;=150,"Yes","No"))</f>
        <v/>
      </c>
      <c r="I189" s="13" t="str">
        <f aca="false">IF(E189="","",IF(H189="Yes",E189*G189,0))</f>
        <v/>
      </c>
      <c r="J189" s="13" t="str">
        <f aca="false">IF(E189="","",E189-I189)</f>
        <v/>
      </c>
      <c r="K189" s="6"/>
      <c r="L189" s="6"/>
    </row>
    <row r="190" customFormat="false" ht="15" hidden="false" customHeight="false" outlineLevel="0" collapsed="false">
      <c r="A190" s="11"/>
      <c r="B190" s="6"/>
      <c r="C190" s="12" t="str">
        <f aca="false">IF(B190="","",IFERROR(INDEX('Gold Registry'!$B$4:$B$103,MATCH(B190,'Gold Registry'!$A$4:$A$103,0)),"Not found"))</f>
        <v/>
      </c>
      <c r="D190" s="6"/>
      <c r="E190" s="13" t="str">
        <f aca="false">IF(D190="","",IFERROR(INDEX('Reference Tables'!$B$3:$B$8,MATCH(D190,'Reference Tables'!$A$3:$A$8,0)),"Invalid package"))</f>
        <v/>
      </c>
      <c r="F190" s="12" t="str">
        <f aca="false">IF(D190="","",IFERROR(INDEX('Reference Tables'!$C$3:$C$8,MATCH(D190,'Reference Tables'!$A$3:$A$8,0)),"Invalid package"))</f>
        <v/>
      </c>
      <c r="G190" s="14" t="str">
        <f aca="false">IF(E190="","",'Reference Tables'!$C$15)</f>
        <v/>
      </c>
      <c r="H190" s="12" t="str">
        <f aca="false">IF(E190="","",IF(E190&gt;=150,"Yes","No"))</f>
        <v/>
      </c>
      <c r="I190" s="13" t="str">
        <f aca="false">IF(E190="","",IF(H190="Yes",E190*G190,0))</f>
        <v/>
      </c>
      <c r="J190" s="13" t="str">
        <f aca="false">IF(E190="","",E190-I190)</f>
        <v/>
      </c>
      <c r="K190" s="6"/>
      <c r="L190" s="6"/>
    </row>
    <row r="191" customFormat="false" ht="15" hidden="false" customHeight="false" outlineLevel="0" collapsed="false">
      <c r="A191" s="11"/>
      <c r="B191" s="6"/>
      <c r="C191" s="12" t="str">
        <f aca="false">IF(B191="","",IFERROR(INDEX('Gold Registry'!$B$4:$B$103,MATCH(B191,'Gold Registry'!$A$4:$A$103,0)),"Not found"))</f>
        <v/>
      </c>
      <c r="D191" s="6"/>
      <c r="E191" s="13" t="str">
        <f aca="false">IF(D191="","",IFERROR(INDEX('Reference Tables'!$B$3:$B$8,MATCH(D191,'Reference Tables'!$A$3:$A$8,0)),"Invalid package"))</f>
        <v/>
      </c>
      <c r="F191" s="12" t="str">
        <f aca="false">IF(D191="","",IFERROR(INDEX('Reference Tables'!$C$3:$C$8,MATCH(D191,'Reference Tables'!$A$3:$A$8,0)),"Invalid package"))</f>
        <v/>
      </c>
      <c r="G191" s="14" t="str">
        <f aca="false">IF(E191="","",'Reference Tables'!$C$15)</f>
        <v/>
      </c>
      <c r="H191" s="12" t="str">
        <f aca="false">IF(E191="","",IF(E191&gt;=150,"Yes","No"))</f>
        <v/>
      </c>
      <c r="I191" s="13" t="str">
        <f aca="false">IF(E191="","",IF(H191="Yes",E191*G191,0))</f>
        <v/>
      </c>
      <c r="J191" s="13" t="str">
        <f aca="false">IF(E191="","",E191-I191)</f>
        <v/>
      </c>
      <c r="K191" s="6"/>
      <c r="L191" s="6"/>
    </row>
    <row r="192" customFormat="false" ht="15" hidden="false" customHeight="false" outlineLevel="0" collapsed="false">
      <c r="A192" s="11"/>
      <c r="B192" s="6"/>
      <c r="C192" s="12" t="str">
        <f aca="false">IF(B192="","",IFERROR(INDEX('Gold Registry'!$B$4:$B$103,MATCH(B192,'Gold Registry'!$A$4:$A$103,0)),"Not found"))</f>
        <v/>
      </c>
      <c r="D192" s="6"/>
      <c r="E192" s="13" t="str">
        <f aca="false">IF(D192="","",IFERROR(INDEX('Reference Tables'!$B$3:$B$8,MATCH(D192,'Reference Tables'!$A$3:$A$8,0)),"Invalid package"))</f>
        <v/>
      </c>
      <c r="F192" s="12" t="str">
        <f aca="false">IF(D192="","",IFERROR(INDEX('Reference Tables'!$C$3:$C$8,MATCH(D192,'Reference Tables'!$A$3:$A$8,0)),"Invalid package"))</f>
        <v/>
      </c>
      <c r="G192" s="14" t="str">
        <f aca="false">IF(E192="","",'Reference Tables'!$C$15)</f>
        <v/>
      </c>
      <c r="H192" s="12" t="str">
        <f aca="false">IF(E192="","",IF(E192&gt;=150,"Yes","No"))</f>
        <v/>
      </c>
      <c r="I192" s="13" t="str">
        <f aca="false">IF(E192="","",IF(H192="Yes",E192*G192,0))</f>
        <v/>
      </c>
      <c r="J192" s="13" t="str">
        <f aca="false">IF(E192="","",E192-I192)</f>
        <v/>
      </c>
      <c r="K192" s="6"/>
      <c r="L192" s="6"/>
    </row>
    <row r="193" customFormat="false" ht="15" hidden="false" customHeight="false" outlineLevel="0" collapsed="false">
      <c r="A193" s="11"/>
      <c r="B193" s="6"/>
      <c r="C193" s="12" t="str">
        <f aca="false">IF(B193="","",IFERROR(INDEX('Gold Registry'!$B$4:$B$103,MATCH(B193,'Gold Registry'!$A$4:$A$103,0)),"Not found"))</f>
        <v/>
      </c>
      <c r="D193" s="6"/>
      <c r="E193" s="13" t="str">
        <f aca="false">IF(D193="","",IFERROR(INDEX('Reference Tables'!$B$3:$B$8,MATCH(D193,'Reference Tables'!$A$3:$A$8,0)),"Invalid package"))</f>
        <v/>
      </c>
      <c r="F193" s="12" t="str">
        <f aca="false">IF(D193="","",IFERROR(INDEX('Reference Tables'!$C$3:$C$8,MATCH(D193,'Reference Tables'!$A$3:$A$8,0)),"Invalid package"))</f>
        <v/>
      </c>
      <c r="G193" s="14" t="str">
        <f aca="false">IF(E193="","",'Reference Tables'!$C$15)</f>
        <v/>
      </c>
      <c r="H193" s="12" t="str">
        <f aca="false">IF(E193="","",IF(E193&gt;=150,"Yes","No"))</f>
        <v/>
      </c>
      <c r="I193" s="13" t="str">
        <f aca="false">IF(E193="","",IF(H193="Yes",E193*G193,0))</f>
        <v/>
      </c>
      <c r="J193" s="13" t="str">
        <f aca="false">IF(E193="","",E193-I193)</f>
        <v/>
      </c>
      <c r="K193" s="6"/>
      <c r="L193" s="6"/>
    </row>
    <row r="194" customFormat="false" ht="15" hidden="false" customHeight="false" outlineLevel="0" collapsed="false">
      <c r="A194" s="11"/>
      <c r="B194" s="6"/>
      <c r="C194" s="12" t="str">
        <f aca="false">IF(B194="","",IFERROR(INDEX('Gold Registry'!$B$4:$B$103,MATCH(B194,'Gold Registry'!$A$4:$A$103,0)),"Not found"))</f>
        <v/>
      </c>
      <c r="D194" s="6"/>
      <c r="E194" s="13" t="str">
        <f aca="false">IF(D194="","",IFERROR(INDEX('Reference Tables'!$B$3:$B$8,MATCH(D194,'Reference Tables'!$A$3:$A$8,0)),"Invalid package"))</f>
        <v/>
      </c>
      <c r="F194" s="12" t="str">
        <f aca="false">IF(D194="","",IFERROR(INDEX('Reference Tables'!$C$3:$C$8,MATCH(D194,'Reference Tables'!$A$3:$A$8,0)),"Invalid package"))</f>
        <v/>
      </c>
      <c r="G194" s="14" t="str">
        <f aca="false">IF(E194="","",'Reference Tables'!$C$15)</f>
        <v/>
      </c>
      <c r="H194" s="12" t="str">
        <f aca="false">IF(E194="","",IF(E194&gt;=150,"Yes","No"))</f>
        <v/>
      </c>
      <c r="I194" s="13" t="str">
        <f aca="false">IF(E194="","",IF(H194="Yes",E194*G194,0))</f>
        <v/>
      </c>
      <c r="J194" s="13" t="str">
        <f aca="false">IF(E194="","",E194-I194)</f>
        <v/>
      </c>
      <c r="K194" s="6"/>
      <c r="L194" s="6"/>
    </row>
    <row r="195" customFormat="false" ht="15" hidden="false" customHeight="false" outlineLevel="0" collapsed="false">
      <c r="A195" s="11"/>
      <c r="B195" s="6"/>
      <c r="C195" s="12" t="str">
        <f aca="false">IF(B195="","",IFERROR(INDEX('Gold Registry'!$B$4:$B$103,MATCH(B195,'Gold Registry'!$A$4:$A$103,0)),"Not found"))</f>
        <v/>
      </c>
      <c r="D195" s="6"/>
      <c r="E195" s="13" t="str">
        <f aca="false">IF(D195="","",IFERROR(INDEX('Reference Tables'!$B$3:$B$8,MATCH(D195,'Reference Tables'!$A$3:$A$8,0)),"Invalid package"))</f>
        <v/>
      </c>
      <c r="F195" s="12" t="str">
        <f aca="false">IF(D195="","",IFERROR(INDEX('Reference Tables'!$C$3:$C$8,MATCH(D195,'Reference Tables'!$A$3:$A$8,0)),"Invalid package"))</f>
        <v/>
      </c>
      <c r="G195" s="14" t="str">
        <f aca="false">IF(E195="","",'Reference Tables'!$C$15)</f>
        <v/>
      </c>
      <c r="H195" s="12" t="str">
        <f aca="false">IF(E195="","",IF(E195&gt;=150,"Yes","No"))</f>
        <v/>
      </c>
      <c r="I195" s="13" t="str">
        <f aca="false">IF(E195="","",IF(H195="Yes",E195*G195,0))</f>
        <v/>
      </c>
      <c r="J195" s="13" t="str">
        <f aca="false">IF(E195="","",E195-I195)</f>
        <v/>
      </c>
      <c r="K195" s="6"/>
      <c r="L195" s="6"/>
    </row>
    <row r="196" customFormat="false" ht="15" hidden="false" customHeight="false" outlineLevel="0" collapsed="false">
      <c r="A196" s="11"/>
      <c r="B196" s="6"/>
      <c r="C196" s="12" t="str">
        <f aca="false">IF(B196="","",IFERROR(INDEX('Gold Registry'!$B$4:$B$103,MATCH(B196,'Gold Registry'!$A$4:$A$103,0)),"Not found"))</f>
        <v/>
      </c>
      <c r="D196" s="6"/>
      <c r="E196" s="13" t="str">
        <f aca="false">IF(D196="","",IFERROR(INDEX('Reference Tables'!$B$3:$B$8,MATCH(D196,'Reference Tables'!$A$3:$A$8,0)),"Invalid package"))</f>
        <v/>
      </c>
      <c r="F196" s="12" t="str">
        <f aca="false">IF(D196="","",IFERROR(INDEX('Reference Tables'!$C$3:$C$8,MATCH(D196,'Reference Tables'!$A$3:$A$8,0)),"Invalid package"))</f>
        <v/>
      </c>
      <c r="G196" s="14" t="str">
        <f aca="false">IF(E196="","",'Reference Tables'!$C$15)</f>
        <v/>
      </c>
      <c r="H196" s="12" t="str">
        <f aca="false">IF(E196="","",IF(E196&gt;=150,"Yes","No"))</f>
        <v/>
      </c>
      <c r="I196" s="13" t="str">
        <f aca="false">IF(E196="","",IF(H196="Yes",E196*G196,0))</f>
        <v/>
      </c>
      <c r="J196" s="13" t="str">
        <f aca="false">IF(E196="","",E196-I196)</f>
        <v/>
      </c>
      <c r="K196" s="6"/>
      <c r="L196" s="6"/>
    </row>
    <row r="197" customFormat="false" ht="15" hidden="false" customHeight="false" outlineLevel="0" collapsed="false">
      <c r="A197" s="11"/>
      <c r="B197" s="6"/>
      <c r="C197" s="12" t="str">
        <f aca="false">IF(B197="","",IFERROR(INDEX('Gold Registry'!$B$4:$B$103,MATCH(B197,'Gold Registry'!$A$4:$A$103,0)),"Not found"))</f>
        <v/>
      </c>
      <c r="D197" s="6"/>
      <c r="E197" s="13" t="str">
        <f aca="false">IF(D197="","",IFERROR(INDEX('Reference Tables'!$B$3:$B$8,MATCH(D197,'Reference Tables'!$A$3:$A$8,0)),"Invalid package"))</f>
        <v/>
      </c>
      <c r="F197" s="12" t="str">
        <f aca="false">IF(D197="","",IFERROR(INDEX('Reference Tables'!$C$3:$C$8,MATCH(D197,'Reference Tables'!$A$3:$A$8,0)),"Invalid package"))</f>
        <v/>
      </c>
      <c r="G197" s="14" t="str">
        <f aca="false">IF(E197="","",'Reference Tables'!$C$15)</f>
        <v/>
      </c>
      <c r="H197" s="12" t="str">
        <f aca="false">IF(E197="","",IF(E197&gt;=150,"Yes","No"))</f>
        <v/>
      </c>
      <c r="I197" s="13" t="str">
        <f aca="false">IF(E197="","",IF(H197="Yes",E197*G197,0))</f>
        <v/>
      </c>
      <c r="J197" s="13" t="str">
        <f aca="false">IF(E197="","",E197-I197)</f>
        <v/>
      </c>
      <c r="K197" s="6"/>
      <c r="L197" s="6"/>
    </row>
    <row r="198" customFormat="false" ht="15" hidden="false" customHeight="false" outlineLevel="0" collapsed="false">
      <c r="A198" s="11"/>
      <c r="B198" s="6"/>
      <c r="C198" s="12" t="str">
        <f aca="false">IF(B198="","",IFERROR(INDEX('Gold Registry'!$B$4:$B$103,MATCH(B198,'Gold Registry'!$A$4:$A$103,0)),"Not found"))</f>
        <v/>
      </c>
      <c r="D198" s="6"/>
      <c r="E198" s="13" t="str">
        <f aca="false">IF(D198="","",IFERROR(INDEX('Reference Tables'!$B$3:$B$8,MATCH(D198,'Reference Tables'!$A$3:$A$8,0)),"Invalid package"))</f>
        <v/>
      </c>
      <c r="F198" s="12" t="str">
        <f aca="false">IF(D198="","",IFERROR(INDEX('Reference Tables'!$C$3:$C$8,MATCH(D198,'Reference Tables'!$A$3:$A$8,0)),"Invalid package"))</f>
        <v/>
      </c>
      <c r="G198" s="14" t="str">
        <f aca="false">IF(E198="","",'Reference Tables'!$C$15)</f>
        <v/>
      </c>
      <c r="H198" s="12" t="str">
        <f aca="false">IF(E198="","",IF(E198&gt;=150,"Yes","No"))</f>
        <v/>
      </c>
      <c r="I198" s="13" t="str">
        <f aca="false">IF(E198="","",IF(H198="Yes",E198*G198,0))</f>
        <v/>
      </c>
      <c r="J198" s="13" t="str">
        <f aca="false">IF(E198="","",E198-I198)</f>
        <v/>
      </c>
      <c r="K198" s="6"/>
      <c r="L198" s="6"/>
    </row>
    <row r="199" customFormat="false" ht="15" hidden="false" customHeight="false" outlineLevel="0" collapsed="false">
      <c r="A199" s="11"/>
      <c r="B199" s="6"/>
      <c r="C199" s="12" t="str">
        <f aca="false">IF(B199="","",IFERROR(INDEX('Gold Registry'!$B$4:$B$103,MATCH(B199,'Gold Registry'!$A$4:$A$103,0)),"Not found"))</f>
        <v/>
      </c>
      <c r="D199" s="6"/>
      <c r="E199" s="13" t="str">
        <f aca="false">IF(D199="","",IFERROR(INDEX('Reference Tables'!$B$3:$B$8,MATCH(D199,'Reference Tables'!$A$3:$A$8,0)),"Invalid package"))</f>
        <v/>
      </c>
      <c r="F199" s="12" t="str">
        <f aca="false">IF(D199="","",IFERROR(INDEX('Reference Tables'!$C$3:$C$8,MATCH(D199,'Reference Tables'!$A$3:$A$8,0)),"Invalid package"))</f>
        <v/>
      </c>
      <c r="G199" s="14" t="str">
        <f aca="false">IF(E199="","",'Reference Tables'!$C$15)</f>
        <v/>
      </c>
      <c r="H199" s="12" t="str">
        <f aca="false">IF(E199="","",IF(E199&gt;=150,"Yes","No"))</f>
        <v/>
      </c>
      <c r="I199" s="13" t="str">
        <f aca="false">IF(E199="","",IF(H199="Yes",E199*G199,0))</f>
        <v/>
      </c>
      <c r="J199" s="13" t="str">
        <f aca="false">IF(E199="","",E199-I199)</f>
        <v/>
      </c>
      <c r="K199" s="6"/>
      <c r="L199" s="6"/>
    </row>
    <row r="200" customFormat="false" ht="15" hidden="false" customHeight="false" outlineLevel="0" collapsed="false">
      <c r="A200" s="11"/>
      <c r="B200" s="6"/>
      <c r="C200" s="12" t="str">
        <f aca="false">IF(B200="","",IFERROR(INDEX('Gold Registry'!$B$4:$B$103,MATCH(B200,'Gold Registry'!$A$4:$A$103,0)),"Not found"))</f>
        <v/>
      </c>
      <c r="D200" s="6"/>
      <c r="E200" s="13" t="str">
        <f aca="false">IF(D200="","",IFERROR(INDEX('Reference Tables'!$B$3:$B$8,MATCH(D200,'Reference Tables'!$A$3:$A$8,0)),"Invalid package"))</f>
        <v/>
      </c>
      <c r="F200" s="12" t="str">
        <f aca="false">IF(D200="","",IFERROR(INDEX('Reference Tables'!$C$3:$C$8,MATCH(D200,'Reference Tables'!$A$3:$A$8,0)),"Invalid package"))</f>
        <v/>
      </c>
      <c r="G200" s="14" t="str">
        <f aca="false">IF(E200="","",'Reference Tables'!$C$15)</f>
        <v/>
      </c>
      <c r="H200" s="12" t="str">
        <f aca="false">IF(E200="","",IF(E200&gt;=150,"Yes","No"))</f>
        <v/>
      </c>
      <c r="I200" s="13" t="str">
        <f aca="false">IF(E200="","",IF(H200="Yes",E200*G200,0))</f>
        <v/>
      </c>
      <c r="J200" s="13" t="str">
        <f aca="false">IF(E200="","",E200-I200)</f>
        <v/>
      </c>
      <c r="K200" s="6"/>
      <c r="L200" s="6"/>
    </row>
    <row r="201" customFormat="false" ht="15" hidden="false" customHeight="false" outlineLevel="0" collapsed="false">
      <c r="A201" s="11"/>
      <c r="B201" s="6"/>
      <c r="C201" s="12" t="str">
        <f aca="false">IF(B201="","",IFERROR(INDEX('Gold Registry'!$B$4:$B$103,MATCH(B201,'Gold Registry'!$A$4:$A$103,0)),"Not found"))</f>
        <v/>
      </c>
      <c r="D201" s="6"/>
      <c r="E201" s="13" t="str">
        <f aca="false">IF(D201="","",IFERROR(INDEX('Reference Tables'!$B$3:$B$8,MATCH(D201,'Reference Tables'!$A$3:$A$8,0)),"Invalid package"))</f>
        <v/>
      </c>
      <c r="F201" s="12" t="str">
        <f aca="false">IF(D201="","",IFERROR(INDEX('Reference Tables'!$C$3:$C$8,MATCH(D201,'Reference Tables'!$A$3:$A$8,0)),"Invalid package"))</f>
        <v/>
      </c>
      <c r="G201" s="14" t="str">
        <f aca="false">IF(E201="","",'Reference Tables'!$C$15)</f>
        <v/>
      </c>
      <c r="H201" s="12" t="str">
        <f aca="false">IF(E201="","",IF(E201&gt;=150,"Yes","No"))</f>
        <v/>
      </c>
      <c r="I201" s="13" t="str">
        <f aca="false">IF(E201="","",IF(H201="Yes",E201*G201,0))</f>
        <v/>
      </c>
      <c r="J201" s="13" t="str">
        <f aca="false">IF(E201="","",E201-I201)</f>
        <v/>
      </c>
      <c r="K201" s="6"/>
      <c r="L201" s="6"/>
    </row>
    <row r="202" customFormat="false" ht="15" hidden="false" customHeight="false" outlineLevel="0" collapsed="false">
      <c r="A202" s="11"/>
      <c r="B202" s="6"/>
      <c r="C202" s="12" t="str">
        <f aca="false">IF(B202="","",IFERROR(INDEX('Gold Registry'!$B$4:$B$103,MATCH(B202,'Gold Registry'!$A$4:$A$103,0)),"Not found"))</f>
        <v/>
      </c>
      <c r="D202" s="6"/>
      <c r="E202" s="13" t="str">
        <f aca="false">IF(D202="","",IFERROR(INDEX('Reference Tables'!$B$3:$B$8,MATCH(D202,'Reference Tables'!$A$3:$A$8,0)),"Invalid package"))</f>
        <v/>
      </c>
      <c r="F202" s="12" t="str">
        <f aca="false">IF(D202="","",IFERROR(INDEX('Reference Tables'!$C$3:$C$8,MATCH(D202,'Reference Tables'!$A$3:$A$8,0)),"Invalid package"))</f>
        <v/>
      </c>
      <c r="G202" s="14" t="str">
        <f aca="false">IF(E202="","",'Reference Tables'!$C$15)</f>
        <v/>
      </c>
      <c r="H202" s="12" t="str">
        <f aca="false">IF(E202="","",IF(E202&gt;=150,"Yes","No"))</f>
        <v/>
      </c>
      <c r="I202" s="13" t="str">
        <f aca="false">IF(E202="","",IF(H202="Yes",E202*G202,0))</f>
        <v/>
      </c>
      <c r="J202" s="13" t="str">
        <f aca="false">IF(E202="","",E202-I202)</f>
        <v/>
      </c>
      <c r="K202" s="6"/>
      <c r="L202" s="6"/>
    </row>
    <row r="203" customFormat="false" ht="15" hidden="false" customHeight="false" outlineLevel="0" collapsed="false">
      <c r="A203" s="11"/>
      <c r="B203" s="6"/>
      <c r="C203" s="12" t="str">
        <f aca="false">IF(B203="","",IFERROR(INDEX('Gold Registry'!$B$4:$B$103,MATCH(B203,'Gold Registry'!$A$4:$A$103,0)),"Not found"))</f>
        <v/>
      </c>
      <c r="D203" s="6"/>
      <c r="E203" s="13" t="str">
        <f aca="false">IF(D203="","",IFERROR(INDEX('Reference Tables'!$B$3:$B$8,MATCH(D203,'Reference Tables'!$A$3:$A$8,0)),"Invalid package"))</f>
        <v/>
      </c>
      <c r="F203" s="12" t="str">
        <f aca="false">IF(D203="","",IFERROR(INDEX('Reference Tables'!$C$3:$C$8,MATCH(D203,'Reference Tables'!$A$3:$A$8,0)),"Invalid package"))</f>
        <v/>
      </c>
      <c r="G203" s="14" t="str">
        <f aca="false">IF(E203="","",'Reference Tables'!$C$15)</f>
        <v/>
      </c>
      <c r="H203" s="12" t="str">
        <f aca="false">IF(E203="","",IF(E203&gt;=150,"Yes","No"))</f>
        <v/>
      </c>
      <c r="I203" s="13" t="str">
        <f aca="false">IF(E203="","",IF(H203="Yes",E203*G203,0))</f>
        <v/>
      </c>
      <c r="J203" s="13" t="str">
        <f aca="false">IF(E203="","",E203-I203)</f>
        <v/>
      </c>
      <c r="K203" s="6"/>
      <c r="L203" s="6"/>
    </row>
    <row r="204" customFormat="false" ht="15" hidden="false" customHeight="false" outlineLevel="0" collapsed="false">
      <c r="A204" s="11"/>
      <c r="B204" s="6"/>
      <c r="C204" s="12" t="str">
        <f aca="false">IF(B204="","",IFERROR(INDEX('Gold Registry'!$B$4:$B$103,MATCH(B204,'Gold Registry'!$A$4:$A$103,0)),"Not found"))</f>
        <v/>
      </c>
      <c r="D204" s="6"/>
      <c r="E204" s="13" t="str">
        <f aca="false">IF(D204="","",IFERROR(INDEX('Reference Tables'!$B$3:$B$8,MATCH(D204,'Reference Tables'!$A$3:$A$8,0)),"Invalid package"))</f>
        <v/>
      </c>
      <c r="F204" s="12" t="str">
        <f aca="false">IF(D204="","",IFERROR(INDEX('Reference Tables'!$C$3:$C$8,MATCH(D204,'Reference Tables'!$A$3:$A$8,0)),"Invalid package"))</f>
        <v/>
      </c>
      <c r="G204" s="14" t="str">
        <f aca="false">IF(E204="","",'Reference Tables'!$C$15)</f>
        <v/>
      </c>
      <c r="H204" s="12" t="str">
        <f aca="false">IF(E204="","",IF(E204&gt;=150,"Yes","No"))</f>
        <v/>
      </c>
      <c r="I204" s="13" t="str">
        <f aca="false">IF(E204="","",IF(H204="Yes",E204*G204,0))</f>
        <v/>
      </c>
      <c r="J204" s="13" t="str">
        <f aca="false">IF(E204="","",E204-I204)</f>
        <v/>
      </c>
      <c r="K204" s="6"/>
      <c r="L204" s="6"/>
    </row>
    <row r="205" customFormat="false" ht="15" hidden="false" customHeight="false" outlineLevel="0" collapsed="false">
      <c r="A205" s="11"/>
      <c r="B205" s="6"/>
      <c r="C205" s="12" t="str">
        <f aca="false">IF(B205="","",IFERROR(INDEX('Gold Registry'!$B$4:$B$103,MATCH(B205,'Gold Registry'!$A$4:$A$103,0)),"Not found"))</f>
        <v/>
      </c>
      <c r="D205" s="6"/>
      <c r="E205" s="13" t="str">
        <f aca="false">IF(D205="","",IFERROR(INDEX('Reference Tables'!$B$3:$B$8,MATCH(D205,'Reference Tables'!$A$3:$A$8,0)),"Invalid package"))</f>
        <v/>
      </c>
      <c r="F205" s="12" t="str">
        <f aca="false">IF(D205="","",IFERROR(INDEX('Reference Tables'!$C$3:$C$8,MATCH(D205,'Reference Tables'!$A$3:$A$8,0)),"Invalid package"))</f>
        <v/>
      </c>
      <c r="G205" s="14" t="str">
        <f aca="false">IF(E205="","",'Reference Tables'!$C$15)</f>
        <v/>
      </c>
      <c r="H205" s="12" t="str">
        <f aca="false">IF(E205="","",IF(E205&gt;=150,"Yes","No"))</f>
        <v/>
      </c>
      <c r="I205" s="13" t="str">
        <f aca="false">IF(E205="","",IF(H205="Yes",E205*G205,0))</f>
        <v/>
      </c>
      <c r="J205" s="13" t="str">
        <f aca="false">IF(E205="","",E205-I205)</f>
        <v/>
      </c>
      <c r="K205" s="6"/>
      <c r="L205" s="6"/>
    </row>
    <row r="206" customFormat="false" ht="15" hidden="false" customHeight="false" outlineLevel="0" collapsed="false">
      <c r="A206" s="11"/>
      <c r="B206" s="6"/>
      <c r="C206" s="12" t="str">
        <f aca="false">IF(B206="","",IFERROR(INDEX('Gold Registry'!$B$4:$B$103,MATCH(B206,'Gold Registry'!$A$4:$A$103,0)),"Not found"))</f>
        <v/>
      </c>
      <c r="D206" s="6"/>
      <c r="E206" s="13" t="str">
        <f aca="false">IF(D206="","",IFERROR(INDEX('Reference Tables'!$B$3:$B$8,MATCH(D206,'Reference Tables'!$A$3:$A$8,0)),"Invalid package"))</f>
        <v/>
      </c>
      <c r="F206" s="12" t="str">
        <f aca="false">IF(D206="","",IFERROR(INDEX('Reference Tables'!$C$3:$C$8,MATCH(D206,'Reference Tables'!$A$3:$A$8,0)),"Invalid package"))</f>
        <v/>
      </c>
      <c r="G206" s="14" t="str">
        <f aca="false">IF(E206="","",'Reference Tables'!$C$15)</f>
        <v/>
      </c>
      <c r="H206" s="12" t="str">
        <f aca="false">IF(E206="","",IF(E206&gt;=150,"Yes","No"))</f>
        <v/>
      </c>
      <c r="I206" s="13" t="str">
        <f aca="false">IF(E206="","",IF(H206="Yes",E206*G206,0))</f>
        <v/>
      </c>
      <c r="J206" s="13" t="str">
        <f aca="false">IF(E206="","",E206-I206)</f>
        <v/>
      </c>
      <c r="K206" s="6"/>
      <c r="L206" s="6"/>
    </row>
    <row r="207" customFormat="false" ht="15" hidden="false" customHeight="false" outlineLevel="0" collapsed="false">
      <c r="A207" s="11"/>
      <c r="B207" s="6"/>
      <c r="C207" s="12" t="str">
        <f aca="false">IF(B207="","",IFERROR(INDEX('Gold Registry'!$B$4:$B$103,MATCH(B207,'Gold Registry'!$A$4:$A$103,0)),"Not found"))</f>
        <v/>
      </c>
      <c r="D207" s="6"/>
      <c r="E207" s="13" t="str">
        <f aca="false">IF(D207="","",IFERROR(INDEX('Reference Tables'!$B$3:$B$8,MATCH(D207,'Reference Tables'!$A$3:$A$8,0)),"Invalid package"))</f>
        <v/>
      </c>
      <c r="F207" s="12" t="str">
        <f aca="false">IF(D207="","",IFERROR(INDEX('Reference Tables'!$C$3:$C$8,MATCH(D207,'Reference Tables'!$A$3:$A$8,0)),"Invalid package"))</f>
        <v/>
      </c>
      <c r="G207" s="14" t="str">
        <f aca="false">IF(E207="","",'Reference Tables'!$C$15)</f>
        <v/>
      </c>
      <c r="H207" s="12" t="str">
        <f aca="false">IF(E207="","",IF(E207&gt;=150,"Yes","No"))</f>
        <v/>
      </c>
      <c r="I207" s="13" t="str">
        <f aca="false">IF(E207="","",IF(H207="Yes",E207*G207,0))</f>
        <v/>
      </c>
      <c r="J207" s="13" t="str">
        <f aca="false">IF(E207="","",E207-I207)</f>
        <v/>
      </c>
      <c r="K207" s="6"/>
      <c r="L207" s="6"/>
    </row>
    <row r="208" customFormat="false" ht="15" hidden="false" customHeight="false" outlineLevel="0" collapsed="false">
      <c r="A208" s="11"/>
      <c r="B208" s="6"/>
      <c r="C208" s="12" t="str">
        <f aca="false">IF(B208="","",IFERROR(INDEX('Gold Registry'!$B$4:$B$103,MATCH(B208,'Gold Registry'!$A$4:$A$103,0)),"Not found"))</f>
        <v/>
      </c>
      <c r="D208" s="6"/>
      <c r="E208" s="13" t="str">
        <f aca="false">IF(D208="","",IFERROR(INDEX('Reference Tables'!$B$3:$B$8,MATCH(D208,'Reference Tables'!$A$3:$A$8,0)),"Invalid package"))</f>
        <v/>
      </c>
      <c r="F208" s="12" t="str">
        <f aca="false">IF(D208="","",IFERROR(INDEX('Reference Tables'!$C$3:$C$8,MATCH(D208,'Reference Tables'!$A$3:$A$8,0)),"Invalid package"))</f>
        <v/>
      </c>
      <c r="G208" s="14" t="str">
        <f aca="false">IF(E208="","",'Reference Tables'!$C$15)</f>
        <v/>
      </c>
      <c r="H208" s="12" t="str">
        <f aca="false">IF(E208="","",IF(E208&gt;=150,"Yes","No"))</f>
        <v/>
      </c>
      <c r="I208" s="13" t="str">
        <f aca="false">IF(E208="","",IF(H208="Yes",E208*G208,0))</f>
        <v/>
      </c>
      <c r="J208" s="13" t="str">
        <f aca="false">IF(E208="","",E208-I208)</f>
        <v/>
      </c>
      <c r="K208" s="6"/>
      <c r="L208" s="6"/>
    </row>
    <row r="209" customFormat="false" ht="15" hidden="false" customHeight="false" outlineLevel="0" collapsed="false">
      <c r="A209" s="11"/>
      <c r="B209" s="6"/>
      <c r="C209" s="12" t="str">
        <f aca="false">IF(B209="","",IFERROR(INDEX('Gold Registry'!$B$4:$B$103,MATCH(B209,'Gold Registry'!$A$4:$A$103,0)),"Not found"))</f>
        <v/>
      </c>
      <c r="D209" s="6"/>
      <c r="E209" s="13" t="str">
        <f aca="false">IF(D209="","",IFERROR(INDEX('Reference Tables'!$B$3:$B$8,MATCH(D209,'Reference Tables'!$A$3:$A$8,0)),"Invalid package"))</f>
        <v/>
      </c>
      <c r="F209" s="12" t="str">
        <f aca="false">IF(D209="","",IFERROR(INDEX('Reference Tables'!$C$3:$C$8,MATCH(D209,'Reference Tables'!$A$3:$A$8,0)),"Invalid package"))</f>
        <v/>
      </c>
      <c r="G209" s="14" t="str">
        <f aca="false">IF(E209="","",'Reference Tables'!$C$15)</f>
        <v/>
      </c>
      <c r="H209" s="12" t="str">
        <f aca="false">IF(E209="","",IF(E209&gt;=150,"Yes","No"))</f>
        <v/>
      </c>
      <c r="I209" s="13" t="str">
        <f aca="false">IF(E209="","",IF(H209="Yes",E209*G209,0))</f>
        <v/>
      </c>
      <c r="J209" s="13" t="str">
        <f aca="false">IF(E209="","",E209-I209)</f>
        <v/>
      </c>
      <c r="K209" s="6"/>
      <c r="L209" s="6"/>
    </row>
    <row r="210" customFormat="false" ht="15" hidden="false" customHeight="false" outlineLevel="0" collapsed="false">
      <c r="A210" s="11"/>
      <c r="B210" s="6"/>
      <c r="C210" s="12" t="str">
        <f aca="false">IF(B210="","",IFERROR(INDEX('Gold Registry'!$B$4:$B$103,MATCH(B210,'Gold Registry'!$A$4:$A$103,0)),"Not found"))</f>
        <v/>
      </c>
      <c r="D210" s="6"/>
      <c r="E210" s="13" t="str">
        <f aca="false">IF(D210="","",IFERROR(INDEX('Reference Tables'!$B$3:$B$8,MATCH(D210,'Reference Tables'!$A$3:$A$8,0)),"Invalid package"))</f>
        <v/>
      </c>
      <c r="F210" s="12" t="str">
        <f aca="false">IF(D210="","",IFERROR(INDEX('Reference Tables'!$C$3:$C$8,MATCH(D210,'Reference Tables'!$A$3:$A$8,0)),"Invalid package"))</f>
        <v/>
      </c>
      <c r="G210" s="14" t="str">
        <f aca="false">IF(E210="","",'Reference Tables'!$C$15)</f>
        <v/>
      </c>
      <c r="H210" s="12" t="str">
        <f aca="false">IF(E210="","",IF(E210&gt;=150,"Yes","No"))</f>
        <v/>
      </c>
      <c r="I210" s="13" t="str">
        <f aca="false">IF(E210="","",IF(H210="Yes",E210*G210,0))</f>
        <v/>
      </c>
      <c r="J210" s="13" t="str">
        <f aca="false">IF(E210="","",E210-I210)</f>
        <v/>
      </c>
      <c r="K210" s="6"/>
      <c r="L210" s="6"/>
    </row>
    <row r="211" customFormat="false" ht="15" hidden="false" customHeight="false" outlineLevel="0" collapsed="false">
      <c r="A211" s="11"/>
      <c r="B211" s="6"/>
      <c r="C211" s="12" t="str">
        <f aca="false">IF(B211="","",IFERROR(INDEX('Gold Registry'!$B$4:$B$103,MATCH(B211,'Gold Registry'!$A$4:$A$103,0)),"Not found"))</f>
        <v/>
      </c>
      <c r="D211" s="6"/>
      <c r="E211" s="13" t="str">
        <f aca="false">IF(D211="","",IFERROR(INDEX('Reference Tables'!$B$3:$B$8,MATCH(D211,'Reference Tables'!$A$3:$A$8,0)),"Invalid package"))</f>
        <v/>
      </c>
      <c r="F211" s="12" t="str">
        <f aca="false">IF(D211="","",IFERROR(INDEX('Reference Tables'!$C$3:$C$8,MATCH(D211,'Reference Tables'!$A$3:$A$8,0)),"Invalid package"))</f>
        <v/>
      </c>
      <c r="G211" s="14" t="str">
        <f aca="false">IF(E211="","",'Reference Tables'!$C$15)</f>
        <v/>
      </c>
      <c r="H211" s="12" t="str">
        <f aca="false">IF(E211="","",IF(E211&gt;=150,"Yes","No"))</f>
        <v/>
      </c>
      <c r="I211" s="13" t="str">
        <f aca="false">IF(E211="","",IF(H211="Yes",E211*G211,0))</f>
        <v/>
      </c>
      <c r="J211" s="13" t="str">
        <f aca="false">IF(E211="","",E211-I211)</f>
        <v/>
      </c>
      <c r="K211" s="6"/>
      <c r="L211" s="6"/>
    </row>
    <row r="212" customFormat="false" ht="15" hidden="false" customHeight="false" outlineLevel="0" collapsed="false">
      <c r="A212" s="11"/>
      <c r="B212" s="6"/>
      <c r="C212" s="12" t="str">
        <f aca="false">IF(B212="","",IFERROR(INDEX('Gold Registry'!$B$4:$B$103,MATCH(B212,'Gold Registry'!$A$4:$A$103,0)),"Not found"))</f>
        <v/>
      </c>
      <c r="D212" s="6"/>
      <c r="E212" s="13" t="str">
        <f aca="false">IF(D212="","",IFERROR(INDEX('Reference Tables'!$B$3:$B$8,MATCH(D212,'Reference Tables'!$A$3:$A$8,0)),"Invalid package"))</f>
        <v/>
      </c>
      <c r="F212" s="12" t="str">
        <f aca="false">IF(D212="","",IFERROR(INDEX('Reference Tables'!$C$3:$C$8,MATCH(D212,'Reference Tables'!$A$3:$A$8,0)),"Invalid package"))</f>
        <v/>
      </c>
      <c r="G212" s="14" t="str">
        <f aca="false">IF(E212="","",'Reference Tables'!$C$15)</f>
        <v/>
      </c>
      <c r="H212" s="12" t="str">
        <f aca="false">IF(E212="","",IF(E212&gt;=150,"Yes","No"))</f>
        <v/>
      </c>
      <c r="I212" s="13" t="str">
        <f aca="false">IF(E212="","",IF(H212="Yes",E212*G212,0))</f>
        <v/>
      </c>
      <c r="J212" s="13" t="str">
        <f aca="false">IF(E212="","",E212-I212)</f>
        <v/>
      </c>
      <c r="K212" s="6"/>
      <c r="L212" s="6"/>
    </row>
    <row r="213" customFormat="false" ht="15" hidden="false" customHeight="false" outlineLevel="0" collapsed="false">
      <c r="A213" s="11"/>
      <c r="B213" s="6"/>
      <c r="C213" s="12" t="str">
        <f aca="false">IF(B213="","",IFERROR(INDEX('Gold Registry'!$B$4:$B$103,MATCH(B213,'Gold Registry'!$A$4:$A$103,0)),"Not found"))</f>
        <v/>
      </c>
      <c r="D213" s="6"/>
      <c r="E213" s="13" t="str">
        <f aca="false">IF(D213="","",IFERROR(INDEX('Reference Tables'!$B$3:$B$8,MATCH(D213,'Reference Tables'!$A$3:$A$8,0)),"Invalid package"))</f>
        <v/>
      </c>
      <c r="F213" s="12" t="str">
        <f aca="false">IF(D213="","",IFERROR(INDEX('Reference Tables'!$C$3:$C$8,MATCH(D213,'Reference Tables'!$A$3:$A$8,0)),"Invalid package"))</f>
        <v/>
      </c>
      <c r="G213" s="14" t="str">
        <f aca="false">IF(E213="","",'Reference Tables'!$C$15)</f>
        <v/>
      </c>
      <c r="H213" s="12" t="str">
        <f aca="false">IF(E213="","",IF(E213&gt;=150,"Yes","No"))</f>
        <v/>
      </c>
      <c r="I213" s="13" t="str">
        <f aca="false">IF(E213="","",IF(H213="Yes",E213*G213,0))</f>
        <v/>
      </c>
      <c r="J213" s="13" t="str">
        <f aca="false">IF(E213="","",E213-I213)</f>
        <v/>
      </c>
      <c r="K213" s="6"/>
      <c r="L213" s="6"/>
    </row>
    <row r="214" customFormat="false" ht="15" hidden="false" customHeight="false" outlineLevel="0" collapsed="false">
      <c r="A214" s="11"/>
      <c r="B214" s="6"/>
      <c r="C214" s="12" t="str">
        <f aca="false">IF(B214="","",IFERROR(INDEX('Gold Registry'!$B$4:$B$103,MATCH(B214,'Gold Registry'!$A$4:$A$103,0)),"Not found"))</f>
        <v/>
      </c>
      <c r="D214" s="6"/>
      <c r="E214" s="13" t="str">
        <f aca="false">IF(D214="","",IFERROR(INDEX('Reference Tables'!$B$3:$B$8,MATCH(D214,'Reference Tables'!$A$3:$A$8,0)),"Invalid package"))</f>
        <v/>
      </c>
      <c r="F214" s="12" t="str">
        <f aca="false">IF(D214="","",IFERROR(INDEX('Reference Tables'!$C$3:$C$8,MATCH(D214,'Reference Tables'!$A$3:$A$8,0)),"Invalid package"))</f>
        <v/>
      </c>
      <c r="G214" s="14" t="str">
        <f aca="false">IF(E214="","",'Reference Tables'!$C$15)</f>
        <v/>
      </c>
      <c r="H214" s="12" t="str">
        <f aca="false">IF(E214="","",IF(E214&gt;=150,"Yes","No"))</f>
        <v/>
      </c>
      <c r="I214" s="13" t="str">
        <f aca="false">IF(E214="","",IF(H214="Yes",E214*G214,0))</f>
        <v/>
      </c>
      <c r="J214" s="13" t="str">
        <f aca="false">IF(E214="","",E214-I214)</f>
        <v/>
      </c>
      <c r="K214" s="6"/>
      <c r="L214" s="6"/>
    </row>
    <row r="215" customFormat="false" ht="15" hidden="false" customHeight="false" outlineLevel="0" collapsed="false">
      <c r="A215" s="11"/>
      <c r="B215" s="6"/>
      <c r="C215" s="12" t="str">
        <f aca="false">IF(B215="","",IFERROR(INDEX('Gold Registry'!$B$4:$B$103,MATCH(B215,'Gold Registry'!$A$4:$A$103,0)),"Not found"))</f>
        <v/>
      </c>
      <c r="D215" s="6"/>
      <c r="E215" s="13" t="str">
        <f aca="false">IF(D215="","",IFERROR(INDEX('Reference Tables'!$B$3:$B$8,MATCH(D215,'Reference Tables'!$A$3:$A$8,0)),"Invalid package"))</f>
        <v/>
      </c>
      <c r="F215" s="12" t="str">
        <f aca="false">IF(D215="","",IFERROR(INDEX('Reference Tables'!$C$3:$C$8,MATCH(D215,'Reference Tables'!$A$3:$A$8,0)),"Invalid package"))</f>
        <v/>
      </c>
      <c r="G215" s="14" t="str">
        <f aca="false">IF(E215="","",'Reference Tables'!$C$15)</f>
        <v/>
      </c>
      <c r="H215" s="12" t="str">
        <f aca="false">IF(E215="","",IF(E215&gt;=150,"Yes","No"))</f>
        <v/>
      </c>
      <c r="I215" s="13" t="str">
        <f aca="false">IF(E215="","",IF(H215="Yes",E215*G215,0))</f>
        <v/>
      </c>
      <c r="J215" s="13" t="str">
        <f aca="false">IF(E215="","",E215-I215)</f>
        <v/>
      </c>
      <c r="K215" s="6"/>
      <c r="L215" s="6"/>
    </row>
    <row r="216" customFormat="false" ht="15" hidden="false" customHeight="false" outlineLevel="0" collapsed="false">
      <c r="A216" s="11"/>
      <c r="B216" s="6"/>
      <c r="C216" s="12" t="str">
        <f aca="false">IF(B216="","",IFERROR(INDEX('Gold Registry'!$B$4:$B$103,MATCH(B216,'Gold Registry'!$A$4:$A$103,0)),"Not found"))</f>
        <v/>
      </c>
      <c r="D216" s="6"/>
      <c r="E216" s="13" t="str">
        <f aca="false">IF(D216="","",IFERROR(INDEX('Reference Tables'!$B$3:$B$8,MATCH(D216,'Reference Tables'!$A$3:$A$8,0)),"Invalid package"))</f>
        <v/>
      </c>
      <c r="F216" s="12" t="str">
        <f aca="false">IF(D216="","",IFERROR(INDEX('Reference Tables'!$C$3:$C$8,MATCH(D216,'Reference Tables'!$A$3:$A$8,0)),"Invalid package"))</f>
        <v/>
      </c>
      <c r="G216" s="14" t="str">
        <f aca="false">IF(E216="","",'Reference Tables'!$C$15)</f>
        <v/>
      </c>
      <c r="H216" s="12" t="str">
        <f aca="false">IF(E216="","",IF(E216&gt;=150,"Yes","No"))</f>
        <v/>
      </c>
      <c r="I216" s="13" t="str">
        <f aca="false">IF(E216="","",IF(H216="Yes",E216*G216,0))</f>
        <v/>
      </c>
      <c r="J216" s="13" t="str">
        <f aca="false">IF(E216="","",E216-I216)</f>
        <v/>
      </c>
      <c r="K216" s="6"/>
      <c r="L216" s="6"/>
    </row>
    <row r="217" customFormat="false" ht="15" hidden="false" customHeight="false" outlineLevel="0" collapsed="false">
      <c r="A217" s="11"/>
      <c r="B217" s="6"/>
      <c r="C217" s="12" t="str">
        <f aca="false">IF(B217="","",IFERROR(INDEX('Gold Registry'!$B$4:$B$103,MATCH(B217,'Gold Registry'!$A$4:$A$103,0)),"Not found"))</f>
        <v/>
      </c>
      <c r="D217" s="6"/>
      <c r="E217" s="13" t="str">
        <f aca="false">IF(D217="","",IFERROR(INDEX('Reference Tables'!$B$3:$B$8,MATCH(D217,'Reference Tables'!$A$3:$A$8,0)),"Invalid package"))</f>
        <v/>
      </c>
      <c r="F217" s="12" t="str">
        <f aca="false">IF(D217="","",IFERROR(INDEX('Reference Tables'!$C$3:$C$8,MATCH(D217,'Reference Tables'!$A$3:$A$8,0)),"Invalid package"))</f>
        <v/>
      </c>
      <c r="G217" s="14" t="str">
        <f aca="false">IF(E217="","",'Reference Tables'!$C$15)</f>
        <v/>
      </c>
      <c r="H217" s="12" t="str">
        <f aca="false">IF(E217="","",IF(E217&gt;=150,"Yes","No"))</f>
        <v/>
      </c>
      <c r="I217" s="13" t="str">
        <f aca="false">IF(E217="","",IF(H217="Yes",E217*G217,0))</f>
        <v/>
      </c>
      <c r="J217" s="13" t="str">
        <f aca="false">IF(E217="","",E217-I217)</f>
        <v/>
      </c>
      <c r="K217" s="6"/>
      <c r="L217" s="6"/>
    </row>
    <row r="218" customFormat="false" ht="15" hidden="false" customHeight="false" outlineLevel="0" collapsed="false">
      <c r="A218" s="11"/>
      <c r="B218" s="6"/>
      <c r="C218" s="12" t="str">
        <f aca="false">IF(B218="","",IFERROR(INDEX('Gold Registry'!$B$4:$B$103,MATCH(B218,'Gold Registry'!$A$4:$A$103,0)),"Not found"))</f>
        <v/>
      </c>
      <c r="D218" s="6"/>
      <c r="E218" s="13" t="str">
        <f aca="false">IF(D218="","",IFERROR(INDEX('Reference Tables'!$B$3:$B$8,MATCH(D218,'Reference Tables'!$A$3:$A$8,0)),"Invalid package"))</f>
        <v/>
      </c>
      <c r="F218" s="12" t="str">
        <f aca="false">IF(D218="","",IFERROR(INDEX('Reference Tables'!$C$3:$C$8,MATCH(D218,'Reference Tables'!$A$3:$A$8,0)),"Invalid package"))</f>
        <v/>
      </c>
      <c r="G218" s="14" t="str">
        <f aca="false">IF(E218="","",'Reference Tables'!$C$15)</f>
        <v/>
      </c>
      <c r="H218" s="12" t="str">
        <f aca="false">IF(E218="","",IF(E218&gt;=150,"Yes","No"))</f>
        <v/>
      </c>
      <c r="I218" s="13" t="str">
        <f aca="false">IF(E218="","",IF(H218="Yes",E218*G218,0))</f>
        <v/>
      </c>
      <c r="J218" s="13" t="str">
        <f aca="false">IF(E218="","",E218-I218)</f>
        <v/>
      </c>
      <c r="K218" s="6"/>
      <c r="L218" s="6"/>
    </row>
    <row r="219" customFormat="false" ht="15" hidden="false" customHeight="false" outlineLevel="0" collapsed="false">
      <c r="A219" s="11"/>
      <c r="B219" s="6"/>
      <c r="C219" s="12" t="str">
        <f aca="false">IF(B219="","",IFERROR(INDEX('Gold Registry'!$B$4:$B$103,MATCH(B219,'Gold Registry'!$A$4:$A$103,0)),"Not found"))</f>
        <v/>
      </c>
      <c r="D219" s="6"/>
      <c r="E219" s="13" t="str">
        <f aca="false">IF(D219="","",IFERROR(INDEX('Reference Tables'!$B$3:$B$8,MATCH(D219,'Reference Tables'!$A$3:$A$8,0)),"Invalid package"))</f>
        <v/>
      </c>
      <c r="F219" s="12" t="str">
        <f aca="false">IF(D219="","",IFERROR(INDEX('Reference Tables'!$C$3:$C$8,MATCH(D219,'Reference Tables'!$A$3:$A$8,0)),"Invalid package"))</f>
        <v/>
      </c>
      <c r="G219" s="14" t="str">
        <f aca="false">IF(E219="","",'Reference Tables'!$C$15)</f>
        <v/>
      </c>
      <c r="H219" s="12" t="str">
        <f aca="false">IF(E219="","",IF(E219&gt;=150,"Yes","No"))</f>
        <v/>
      </c>
      <c r="I219" s="13" t="str">
        <f aca="false">IF(E219="","",IF(H219="Yes",E219*G219,0))</f>
        <v/>
      </c>
      <c r="J219" s="13" t="str">
        <f aca="false">IF(E219="","",E219-I219)</f>
        <v/>
      </c>
      <c r="K219" s="6"/>
      <c r="L219" s="6"/>
    </row>
    <row r="220" customFormat="false" ht="15" hidden="false" customHeight="false" outlineLevel="0" collapsed="false">
      <c r="A220" s="11"/>
      <c r="B220" s="6"/>
      <c r="C220" s="12" t="str">
        <f aca="false">IF(B220="","",IFERROR(INDEX('Gold Registry'!$B$4:$B$103,MATCH(B220,'Gold Registry'!$A$4:$A$103,0)),"Not found"))</f>
        <v/>
      </c>
      <c r="D220" s="6"/>
      <c r="E220" s="13" t="str">
        <f aca="false">IF(D220="","",IFERROR(INDEX('Reference Tables'!$B$3:$B$8,MATCH(D220,'Reference Tables'!$A$3:$A$8,0)),"Invalid package"))</f>
        <v/>
      </c>
      <c r="F220" s="12" t="str">
        <f aca="false">IF(D220="","",IFERROR(INDEX('Reference Tables'!$C$3:$C$8,MATCH(D220,'Reference Tables'!$A$3:$A$8,0)),"Invalid package"))</f>
        <v/>
      </c>
      <c r="G220" s="14" t="str">
        <f aca="false">IF(E220="","",'Reference Tables'!$C$15)</f>
        <v/>
      </c>
      <c r="H220" s="12" t="str">
        <f aca="false">IF(E220="","",IF(E220&gt;=150,"Yes","No"))</f>
        <v/>
      </c>
      <c r="I220" s="13" t="str">
        <f aca="false">IF(E220="","",IF(H220="Yes",E220*G220,0))</f>
        <v/>
      </c>
      <c r="J220" s="13" t="str">
        <f aca="false">IF(E220="","",E220-I220)</f>
        <v/>
      </c>
      <c r="K220" s="6"/>
      <c r="L220" s="6"/>
    </row>
    <row r="221" customFormat="false" ht="15" hidden="false" customHeight="false" outlineLevel="0" collapsed="false">
      <c r="A221" s="11"/>
      <c r="B221" s="6"/>
      <c r="C221" s="12" t="str">
        <f aca="false">IF(B221="","",IFERROR(INDEX('Gold Registry'!$B$4:$B$103,MATCH(B221,'Gold Registry'!$A$4:$A$103,0)),"Not found"))</f>
        <v/>
      </c>
      <c r="D221" s="6"/>
      <c r="E221" s="13" t="str">
        <f aca="false">IF(D221="","",IFERROR(INDEX('Reference Tables'!$B$3:$B$8,MATCH(D221,'Reference Tables'!$A$3:$A$8,0)),"Invalid package"))</f>
        <v/>
      </c>
      <c r="F221" s="12" t="str">
        <f aca="false">IF(D221="","",IFERROR(INDEX('Reference Tables'!$C$3:$C$8,MATCH(D221,'Reference Tables'!$A$3:$A$8,0)),"Invalid package"))</f>
        <v/>
      </c>
      <c r="G221" s="14" t="str">
        <f aca="false">IF(E221="","",'Reference Tables'!$C$15)</f>
        <v/>
      </c>
      <c r="H221" s="12" t="str">
        <f aca="false">IF(E221="","",IF(E221&gt;=150,"Yes","No"))</f>
        <v/>
      </c>
      <c r="I221" s="13" t="str">
        <f aca="false">IF(E221="","",IF(H221="Yes",E221*G221,0))</f>
        <v/>
      </c>
      <c r="J221" s="13" t="str">
        <f aca="false">IF(E221="","",E221-I221)</f>
        <v/>
      </c>
      <c r="K221" s="6"/>
      <c r="L221" s="6"/>
    </row>
    <row r="222" customFormat="false" ht="15" hidden="false" customHeight="false" outlineLevel="0" collapsed="false">
      <c r="A222" s="11"/>
      <c r="B222" s="6"/>
      <c r="C222" s="12" t="str">
        <f aca="false">IF(B222="","",IFERROR(INDEX('Gold Registry'!$B$4:$B$103,MATCH(B222,'Gold Registry'!$A$4:$A$103,0)),"Not found"))</f>
        <v/>
      </c>
      <c r="D222" s="6"/>
      <c r="E222" s="13" t="str">
        <f aca="false">IF(D222="","",IFERROR(INDEX('Reference Tables'!$B$3:$B$8,MATCH(D222,'Reference Tables'!$A$3:$A$8,0)),"Invalid package"))</f>
        <v/>
      </c>
      <c r="F222" s="12" t="str">
        <f aca="false">IF(D222="","",IFERROR(INDEX('Reference Tables'!$C$3:$C$8,MATCH(D222,'Reference Tables'!$A$3:$A$8,0)),"Invalid package"))</f>
        <v/>
      </c>
      <c r="G222" s="14" t="str">
        <f aca="false">IF(E222="","",'Reference Tables'!$C$15)</f>
        <v/>
      </c>
      <c r="H222" s="12" t="str">
        <f aca="false">IF(E222="","",IF(E222&gt;=150,"Yes","No"))</f>
        <v/>
      </c>
      <c r="I222" s="13" t="str">
        <f aca="false">IF(E222="","",IF(H222="Yes",E222*G222,0))</f>
        <v/>
      </c>
      <c r="J222" s="13" t="str">
        <f aca="false">IF(E222="","",E222-I222)</f>
        <v/>
      </c>
      <c r="K222" s="6"/>
      <c r="L222" s="6"/>
    </row>
    <row r="223" customFormat="false" ht="15" hidden="false" customHeight="false" outlineLevel="0" collapsed="false">
      <c r="A223" s="11"/>
      <c r="B223" s="6"/>
      <c r="C223" s="12" t="str">
        <f aca="false">IF(B223="","",IFERROR(INDEX('Gold Registry'!$B$4:$B$103,MATCH(B223,'Gold Registry'!$A$4:$A$103,0)),"Not found"))</f>
        <v/>
      </c>
      <c r="D223" s="6"/>
      <c r="E223" s="13" t="str">
        <f aca="false">IF(D223="","",IFERROR(INDEX('Reference Tables'!$B$3:$B$8,MATCH(D223,'Reference Tables'!$A$3:$A$8,0)),"Invalid package"))</f>
        <v/>
      </c>
      <c r="F223" s="12" t="str">
        <f aca="false">IF(D223="","",IFERROR(INDEX('Reference Tables'!$C$3:$C$8,MATCH(D223,'Reference Tables'!$A$3:$A$8,0)),"Invalid package"))</f>
        <v/>
      </c>
      <c r="G223" s="14" t="str">
        <f aca="false">IF(E223="","",'Reference Tables'!$C$15)</f>
        <v/>
      </c>
      <c r="H223" s="12" t="str">
        <f aca="false">IF(E223="","",IF(E223&gt;=150,"Yes","No"))</f>
        <v/>
      </c>
      <c r="I223" s="13" t="str">
        <f aca="false">IF(E223="","",IF(H223="Yes",E223*G223,0))</f>
        <v/>
      </c>
      <c r="J223" s="13" t="str">
        <f aca="false">IF(E223="","",E223-I223)</f>
        <v/>
      </c>
      <c r="K223" s="6"/>
      <c r="L223" s="6"/>
    </row>
    <row r="224" customFormat="false" ht="15" hidden="false" customHeight="false" outlineLevel="0" collapsed="false">
      <c r="A224" s="11"/>
      <c r="B224" s="6"/>
      <c r="C224" s="12" t="str">
        <f aca="false">IF(B224="","",IFERROR(INDEX('Gold Registry'!$B$4:$B$103,MATCH(B224,'Gold Registry'!$A$4:$A$103,0)),"Not found"))</f>
        <v/>
      </c>
      <c r="D224" s="6"/>
      <c r="E224" s="13" t="str">
        <f aca="false">IF(D224="","",IFERROR(INDEX('Reference Tables'!$B$3:$B$8,MATCH(D224,'Reference Tables'!$A$3:$A$8,0)),"Invalid package"))</f>
        <v/>
      </c>
      <c r="F224" s="12" t="str">
        <f aca="false">IF(D224="","",IFERROR(INDEX('Reference Tables'!$C$3:$C$8,MATCH(D224,'Reference Tables'!$A$3:$A$8,0)),"Invalid package"))</f>
        <v/>
      </c>
      <c r="G224" s="14" t="str">
        <f aca="false">IF(E224="","",'Reference Tables'!$C$15)</f>
        <v/>
      </c>
      <c r="H224" s="12" t="str">
        <f aca="false">IF(E224="","",IF(E224&gt;=150,"Yes","No"))</f>
        <v/>
      </c>
      <c r="I224" s="13" t="str">
        <f aca="false">IF(E224="","",IF(H224="Yes",E224*G224,0))</f>
        <v/>
      </c>
      <c r="J224" s="13" t="str">
        <f aca="false">IF(E224="","",E224-I224)</f>
        <v/>
      </c>
      <c r="K224" s="6"/>
      <c r="L224" s="6"/>
    </row>
    <row r="225" customFormat="false" ht="15" hidden="false" customHeight="false" outlineLevel="0" collapsed="false">
      <c r="A225" s="11"/>
      <c r="B225" s="6"/>
      <c r="C225" s="12" t="str">
        <f aca="false">IF(B225="","",IFERROR(INDEX('Gold Registry'!$B$4:$B$103,MATCH(B225,'Gold Registry'!$A$4:$A$103,0)),"Not found"))</f>
        <v/>
      </c>
      <c r="D225" s="6"/>
      <c r="E225" s="13" t="str">
        <f aca="false">IF(D225="","",IFERROR(INDEX('Reference Tables'!$B$3:$B$8,MATCH(D225,'Reference Tables'!$A$3:$A$8,0)),"Invalid package"))</f>
        <v/>
      </c>
      <c r="F225" s="12" t="str">
        <f aca="false">IF(D225="","",IFERROR(INDEX('Reference Tables'!$C$3:$C$8,MATCH(D225,'Reference Tables'!$A$3:$A$8,0)),"Invalid package"))</f>
        <v/>
      </c>
      <c r="G225" s="14" t="str">
        <f aca="false">IF(E225="","",'Reference Tables'!$C$15)</f>
        <v/>
      </c>
      <c r="H225" s="12" t="str">
        <f aca="false">IF(E225="","",IF(E225&gt;=150,"Yes","No"))</f>
        <v/>
      </c>
      <c r="I225" s="13" t="str">
        <f aca="false">IF(E225="","",IF(H225="Yes",E225*G225,0))</f>
        <v/>
      </c>
      <c r="J225" s="13" t="str">
        <f aca="false">IF(E225="","",E225-I225)</f>
        <v/>
      </c>
      <c r="K225" s="6"/>
      <c r="L225" s="6"/>
    </row>
    <row r="226" customFormat="false" ht="15" hidden="false" customHeight="false" outlineLevel="0" collapsed="false">
      <c r="A226" s="11"/>
      <c r="B226" s="6"/>
      <c r="C226" s="12" t="str">
        <f aca="false">IF(B226="","",IFERROR(INDEX('Gold Registry'!$B$4:$B$103,MATCH(B226,'Gold Registry'!$A$4:$A$103,0)),"Not found"))</f>
        <v/>
      </c>
      <c r="D226" s="6"/>
      <c r="E226" s="13" t="str">
        <f aca="false">IF(D226="","",IFERROR(INDEX('Reference Tables'!$B$3:$B$8,MATCH(D226,'Reference Tables'!$A$3:$A$8,0)),"Invalid package"))</f>
        <v/>
      </c>
      <c r="F226" s="12" t="str">
        <f aca="false">IF(D226="","",IFERROR(INDEX('Reference Tables'!$C$3:$C$8,MATCH(D226,'Reference Tables'!$A$3:$A$8,0)),"Invalid package"))</f>
        <v/>
      </c>
      <c r="G226" s="14" t="str">
        <f aca="false">IF(E226="","",'Reference Tables'!$C$15)</f>
        <v/>
      </c>
      <c r="H226" s="12" t="str">
        <f aca="false">IF(E226="","",IF(E226&gt;=150,"Yes","No"))</f>
        <v/>
      </c>
      <c r="I226" s="13" t="str">
        <f aca="false">IF(E226="","",IF(H226="Yes",E226*G226,0))</f>
        <v/>
      </c>
      <c r="J226" s="13" t="str">
        <f aca="false">IF(E226="","",E226-I226)</f>
        <v/>
      </c>
      <c r="K226" s="6"/>
      <c r="L226" s="6"/>
    </row>
    <row r="227" customFormat="false" ht="15" hidden="false" customHeight="false" outlineLevel="0" collapsed="false">
      <c r="A227" s="11"/>
      <c r="B227" s="6"/>
      <c r="C227" s="12" t="str">
        <f aca="false">IF(B227="","",IFERROR(INDEX('Gold Registry'!$B$4:$B$103,MATCH(B227,'Gold Registry'!$A$4:$A$103,0)),"Not found"))</f>
        <v/>
      </c>
      <c r="D227" s="6"/>
      <c r="E227" s="13" t="str">
        <f aca="false">IF(D227="","",IFERROR(INDEX('Reference Tables'!$B$3:$B$8,MATCH(D227,'Reference Tables'!$A$3:$A$8,0)),"Invalid package"))</f>
        <v/>
      </c>
      <c r="F227" s="12" t="str">
        <f aca="false">IF(D227="","",IFERROR(INDEX('Reference Tables'!$C$3:$C$8,MATCH(D227,'Reference Tables'!$A$3:$A$8,0)),"Invalid package"))</f>
        <v/>
      </c>
      <c r="G227" s="14" t="str">
        <f aca="false">IF(E227="","",'Reference Tables'!$C$15)</f>
        <v/>
      </c>
      <c r="H227" s="12" t="str">
        <f aca="false">IF(E227="","",IF(E227&gt;=150,"Yes","No"))</f>
        <v/>
      </c>
      <c r="I227" s="13" t="str">
        <f aca="false">IF(E227="","",IF(H227="Yes",E227*G227,0))</f>
        <v/>
      </c>
      <c r="J227" s="13" t="str">
        <f aca="false">IF(E227="","",E227-I227)</f>
        <v/>
      </c>
      <c r="K227" s="6"/>
      <c r="L227" s="6"/>
    </row>
    <row r="228" customFormat="false" ht="15" hidden="false" customHeight="false" outlineLevel="0" collapsed="false">
      <c r="A228" s="11"/>
      <c r="B228" s="6"/>
      <c r="C228" s="12" t="str">
        <f aca="false">IF(B228="","",IFERROR(INDEX('Gold Registry'!$B$4:$B$103,MATCH(B228,'Gold Registry'!$A$4:$A$103,0)),"Not found"))</f>
        <v/>
      </c>
      <c r="D228" s="6"/>
      <c r="E228" s="13" t="str">
        <f aca="false">IF(D228="","",IFERROR(INDEX('Reference Tables'!$B$3:$B$8,MATCH(D228,'Reference Tables'!$A$3:$A$8,0)),"Invalid package"))</f>
        <v/>
      </c>
      <c r="F228" s="12" t="str">
        <f aca="false">IF(D228="","",IFERROR(INDEX('Reference Tables'!$C$3:$C$8,MATCH(D228,'Reference Tables'!$A$3:$A$8,0)),"Invalid package"))</f>
        <v/>
      </c>
      <c r="G228" s="14" t="str">
        <f aca="false">IF(E228="","",'Reference Tables'!$C$15)</f>
        <v/>
      </c>
      <c r="H228" s="12" t="str">
        <f aca="false">IF(E228="","",IF(E228&gt;=150,"Yes","No"))</f>
        <v/>
      </c>
      <c r="I228" s="13" t="str">
        <f aca="false">IF(E228="","",IF(H228="Yes",E228*G228,0))</f>
        <v/>
      </c>
      <c r="J228" s="13" t="str">
        <f aca="false">IF(E228="","",E228-I228)</f>
        <v/>
      </c>
      <c r="K228" s="6"/>
      <c r="L228" s="6"/>
    </row>
    <row r="229" customFormat="false" ht="15" hidden="false" customHeight="false" outlineLevel="0" collapsed="false">
      <c r="A229" s="11"/>
      <c r="B229" s="6"/>
      <c r="C229" s="12" t="str">
        <f aca="false">IF(B229="","",IFERROR(INDEX('Gold Registry'!$B$4:$B$103,MATCH(B229,'Gold Registry'!$A$4:$A$103,0)),"Not found"))</f>
        <v/>
      </c>
      <c r="D229" s="6"/>
      <c r="E229" s="13" t="str">
        <f aca="false">IF(D229="","",IFERROR(INDEX('Reference Tables'!$B$3:$B$8,MATCH(D229,'Reference Tables'!$A$3:$A$8,0)),"Invalid package"))</f>
        <v/>
      </c>
      <c r="F229" s="12" t="str">
        <f aca="false">IF(D229="","",IFERROR(INDEX('Reference Tables'!$C$3:$C$8,MATCH(D229,'Reference Tables'!$A$3:$A$8,0)),"Invalid package"))</f>
        <v/>
      </c>
      <c r="G229" s="14" t="str">
        <f aca="false">IF(E229="","",'Reference Tables'!$C$15)</f>
        <v/>
      </c>
      <c r="H229" s="12" t="str">
        <f aca="false">IF(E229="","",IF(E229&gt;=150,"Yes","No"))</f>
        <v/>
      </c>
      <c r="I229" s="13" t="str">
        <f aca="false">IF(E229="","",IF(H229="Yes",E229*G229,0))</f>
        <v/>
      </c>
      <c r="J229" s="13" t="str">
        <f aca="false">IF(E229="","",E229-I229)</f>
        <v/>
      </c>
      <c r="K229" s="6"/>
      <c r="L229" s="6"/>
    </row>
    <row r="230" customFormat="false" ht="15" hidden="false" customHeight="false" outlineLevel="0" collapsed="false">
      <c r="A230" s="11"/>
      <c r="B230" s="6"/>
      <c r="C230" s="12" t="str">
        <f aca="false">IF(B230="","",IFERROR(INDEX('Gold Registry'!$B$4:$B$103,MATCH(B230,'Gold Registry'!$A$4:$A$103,0)),"Not found"))</f>
        <v/>
      </c>
      <c r="D230" s="6"/>
      <c r="E230" s="13" t="str">
        <f aca="false">IF(D230="","",IFERROR(INDEX('Reference Tables'!$B$3:$B$8,MATCH(D230,'Reference Tables'!$A$3:$A$8,0)),"Invalid package"))</f>
        <v/>
      </c>
      <c r="F230" s="12" t="str">
        <f aca="false">IF(D230="","",IFERROR(INDEX('Reference Tables'!$C$3:$C$8,MATCH(D230,'Reference Tables'!$A$3:$A$8,0)),"Invalid package"))</f>
        <v/>
      </c>
      <c r="G230" s="14" t="str">
        <f aca="false">IF(E230="","",'Reference Tables'!$C$15)</f>
        <v/>
      </c>
      <c r="H230" s="12" t="str">
        <f aca="false">IF(E230="","",IF(E230&gt;=150,"Yes","No"))</f>
        <v/>
      </c>
      <c r="I230" s="13" t="str">
        <f aca="false">IF(E230="","",IF(H230="Yes",E230*G230,0))</f>
        <v/>
      </c>
      <c r="J230" s="13" t="str">
        <f aca="false">IF(E230="","",E230-I230)</f>
        <v/>
      </c>
      <c r="K230" s="6"/>
      <c r="L230" s="6"/>
    </row>
    <row r="231" customFormat="false" ht="15" hidden="false" customHeight="false" outlineLevel="0" collapsed="false">
      <c r="A231" s="11"/>
      <c r="B231" s="6"/>
      <c r="C231" s="12" t="str">
        <f aca="false">IF(B231="","",IFERROR(INDEX('Gold Registry'!$B$4:$B$103,MATCH(B231,'Gold Registry'!$A$4:$A$103,0)),"Not found"))</f>
        <v/>
      </c>
      <c r="D231" s="6"/>
      <c r="E231" s="13" t="str">
        <f aca="false">IF(D231="","",IFERROR(INDEX('Reference Tables'!$B$3:$B$8,MATCH(D231,'Reference Tables'!$A$3:$A$8,0)),"Invalid package"))</f>
        <v/>
      </c>
      <c r="F231" s="12" t="str">
        <f aca="false">IF(D231="","",IFERROR(INDEX('Reference Tables'!$C$3:$C$8,MATCH(D231,'Reference Tables'!$A$3:$A$8,0)),"Invalid package"))</f>
        <v/>
      </c>
      <c r="G231" s="14" t="str">
        <f aca="false">IF(E231="","",'Reference Tables'!$C$15)</f>
        <v/>
      </c>
      <c r="H231" s="12" t="str">
        <f aca="false">IF(E231="","",IF(E231&gt;=150,"Yes","No"))</f>
        <v/>
      </c>
      <c r="I231" s="13" t="str">
        <f aca="false">IF(E231="","",IF(H231="Yes",E231*G231,0))</f>
        <v/>
      </c>
      <c r="J231" s="13" t="str">
        <f aca="false">IF(E231="","",E231-I231)</f>
        <v/>
      </c>
      <c r="K231" s="6"/>
      <c r="L231" s="6"/>
    </row>
    <row r="232" customFormat="false" ht="15" hidden="false" customHeight="false" outlineLevel="0" collapsed="false">
      <c r="A232" s="11"/>
      <c r="B232" s="6"/>
      <c r="C232" s="12" t="str">
        <f aca="false">IF(B232="","",IFERROR(INDEX('Gold Registry'!$B$4:$B$103,MATCH(B232,'Gold Registry'!$A$4:$A$103,0)),"Not found"))</f>
        <v/>
      </c>
      <c r="D232" s="6"/>
      <c r="E232" s="13" t="str">
        <f aca="false">IF(D232="","",IFERROR(INDEX('Reference Tables'!$B$3:$B$8,MATCH(D232,'Reference Tables'!$A$3:$A$8,0)),"Invalid package"))</f>
        <v/>
      </c>
      <c r="F232" s="12" t="str">
        <f aca="false">IF(D232="","",IFERROR(INDEX('Reference Tables'!$C$3:$C$8,MATCH(D232,'Reference Tables'!$A$3:$A$8,0)),"Invalid package"))</f>
        <v/>
      </c>
      <c r="G232" s="14" t="str">
        <f aca="false">IF(E232="","",'Reference Tables'!$C$15)</f>
        <v/>
      </c>
      <c r="H232" s="12" t="str">
        <f aca="false">IF(E232="","",IF(E232&gt;=150,"Yes","No"))</f>
        <v/>
      </c>
      <c r="I232" s="13" t="str">
        <f aca="false">IF(E232="","",IF(H232="Yes",E232*G232,0))</f>
        <v/>
      </c>
      <c r="J232" s="13" t="str">
        <f aca="false">IF(E232="","",E232-I232)</f>
        <v/>
      </c>
      <c r="K232" s="6"/>
      <c r="L232" s="6"/>
    </row>
    <row r="233" customFormat="false" ht="15" hidden="false" customHeight="false" outlineLevel="0" collapsed="false">
      <c r="A233" s="11"/>
      <c r="B233" s="6"/>
      <c r="C233" s="12" t="str">
        <f aca="false">IF(B233="","",IFERROR(INDEX('Gold Registry'!$B$4:$B$103,MATCH(B233,'Gold Registry'!$A$4:$A$103,0)),"Not found"))</f>
        <v/>
      </c>
      <c r="D233" s="6"/>
      <c r="E233" s="13" t="str">
        <f aca="false">IF(D233="","",IFERROR(INDEX('Reference Tables'!$B$3:$B$8,MATCH(D233,'Reference Tables'!$A$3:$A$8,0)),"Invalid package"))</f>
        <v/>
      </c>
      <c r="F233" s="12" t="str">
        <f aca="false">IF(D233="","",IFERROR(INDEX('Reference Tables'!$C$3:$C$8,MATCH(D233,'Reference Tables'!$A$3:$A$8,0)),"Invalid package"))</f>
        <v/>
      </c>
      <c r="G233" s="14" t="str">
        <f aca="false">IF(E233="","",'Reference Tables'!$C$15)</f>
        <v/>
      </c>
      <c r="H233" s="12" t="str">
        <f aca="false">IF(E233="","",IF(E233&gt;=150,"Yes","No"))</f>
        <v/>
      </c>
      <c r="I233" s="13" t="str">
        <f aca="false">IF(E233="","",IF(H233="Yes",E233*G233,0))</f>
        <v/>
      </c>
      <c r="J233" s="13" t="str">
        <f aca="false">IF(E233="","",E233-I233)</f>
        <v/>
      </c>
      <c r="K233" s="6"/>
      <c r="L233" s="6"/>
    </row>
    <row r="234" customFormat="false" ht="15" hidden="false" customHeight="false" outlineLevel="0" collapsed="false">
      <c r="A234" s="11"/>
      <c r="B234" s="6"/>
      <c r="C234" s="12" t="str">
        <f aca="false">IF(B234="","",IFERROR(INDEX('Gold Registry'!$B$4:$B$103,MATCH(B234,'Gold Registry'!$A$4:$A$103,0)),"Not found"))</f>
        <v/>
      </c>
      <c r="D234" s="6"/>
      <c r="E234" s="13" t="str">
        <f aca="false">IF(D234="","",IFERROR(INDEX('Reference Tables'!$B$3:$B$8,MATCH(D234,'Reference Tables'!$A$3:$A$8,0)),"Invalid package"))</f>
        <v/>
      </c>
      <c r="F234" s="12" t="str">
        <f aca="false">IF(D234="","",IFERROR(INDEX('Reference Tables'!$C$3:$C$8,MATCH(D234,'Reference Tables'!$A$3:$A$8,0)),"Invalid package"))</f>
        <v/>
      </c>
      <c r="G234" s="14" t="str">
        <f aca="false">IF(E234="","",'Reference Tables'!$C$15)</f>
        <v/>
      </c>
      <c r="H234" s="12" t="str">
        <f aca="false">IF(E234="","",IF(E234&gt;=150,"Yes","No"))</f>
        <v/>
      </c>
      <c r="I234" s="13" t="str">
        <f aca="false">IF(E234="","",IF(H234="Yes",E234*G234,0))</f>
        <v/>
      </c>
      <c r="J234" s="13" t="str">
        <f aca="false">IF(E234="","",E234-I234)</f>
        <v/>
      </c>
      <c r="K234" s="6"/>
      <c r="L234" s="6"/>
    </row>
    <row r="235" customFormat="false" ht="15" hidden="false" customHeight="false" outlineLevel="0" collapsed="false">
      <c r="A235" s="11"/>
      <c r="B235" s="6"/>
      <c r="C235" s="12" t="str">
        <f aca="false">IF(B235="","",IFERROR(INDEX('Gold Registry'!$B$4:$B$103,MATCH(B235,'Gold Registry'!$A$4:$A$103,0)),"Not found"))</f>
        <v/>
      </c>
      <c r="D235" s="6"/>
      <c r="E235" s="13" t="str">
        <f aca="false">IF(D235="","",IFERROR(INDEX('Reference Tables'!$B$3:$B$8,MATCH(D235,'Reference Tables'!$A$3:$A$8,0)),"Invalid package"))</f>
        <v/>
      </c>
      <c r="F235" s="12" t="str">
        <f aca="false">IF(D235="","",IFERROR(INDEX('Reference Tables'!$C$3:$C$8,MATCH(D235,'Reference Tables'!$A$3:$A$8,0)),"Invalid package"))</f>
        <v/>
      </c>
      <c r="G235" s="14" t="str">
        <f aca="false">IF(E235="","",'Reference Tables'!$C$15)</f>
        <v/>
      </c>
      <c r="H235" s="12" t="str">
        <f aca="false">IF(E235="","",IF(E235&gt;=150,"Yes","No"))</f>
        <v/>
      </c>
      <c r="I235" s="13" t="str">
        <f aca="false">IF(E235="","",IF(H235="Yes",E235*G235,0))</f>
        <v/>
      </c>
      <c r="J235" s="13" t="str">
        <f aca="false">IF(E235="","",E235-I235)</f>
        <v/>
      </c>
      <c r="K235" s="6"/>
      <c r="L235" s="6"/>
    </row>
    <row r="236" customFormat="false" ht="15" hidden="false" customHeight="false" outlineLevel="0" collapsed="false">
      <c r="A236" s="11"/>
      <c r="B236" s="6"/>
      <c r="C236" s="12" t="str">
        <f aca="false">IF(B236="","",IFERROR(INDEX('Gold Registry'!$B$4:$B$103,MATCH(B236,'Gold Registry'!$A$4:$A$103,0)),"Not found"))</f>
        <v/>
      </c>
      <c r="D236" s="6"/>
      <c r="E236" s="13" t="str">
        <f aca="false">IF(D236="","",IFERROR(INDEX('Reference Tables'!$B$3:$B$8,MATCH(D236,'Reference Tables'!$A$3:$A$8,0)),"Invalid package"))</f>
        <v/>
      </c>
      <c r="F236" s="12" t="str">
        <f aca="false">IF(D236="","",IFERROR(INDEX('Reference Tables'!$C$3:$C$8,MATCH(D236,'Reference Tables'!$A$3:$A$8,0)),"Invalid package"))</f>
        <v/>
      </c>
      <c r="G236" s="14" t="str">
        <f aca="false">IF(E236="","",'Reference Tables'!$C$15)</f>
        <v/>
      </c>
      <c r="H236" s="12" t="str">
        <f aca="false">IF(E236="","",IF(E236&gt;=150,"Yes","No"))</f>
        <v/>
      </c>
      <c r="I236" s="13" t="str">
        <f aca="false">IF(E236="","",IF(H236="Yes",E236*G236,0))</f>
        <v/>
      </c>
      <c r="J236" s="13" t="str">
        <f aca="false">IF(E236="","",E236-I236)</f>
        <v/>
      </c>
      <c r="K236" s="6"/>
      <c r="L236" s="6"/>
    </row>
    <row r="237" customFormat="false" ht="15" hidden="false" customHeight="false" outlineLevel="0" collapsed="false">
      <c r="A237" s="11"/>
      <c r="B237" s="6"/>
      <c r="C237" s="12" t="str">
        <f aca="false">IF(B237="","",IFERROR(INDEX('Gold Registry'!$B$4:$B$103,MATCH(B237,'Gold Registry'!$A$4:$A$103,0)),"Not found"))</f>
        <v/>
      </c>
      <c r="D237" s="6"/>
      <c r="E237" s="13" t="str">
        <f aca="false">IF(D237="","",IFERROR(INDEX('Reference Tables'!$B$3:$B$8,MATCH(D237,'Reference Tables'!$A$3:$A$8,0)),"Invalid package"))</f>
        <v/>
      </c>
      <c r="F237" s="12" t="str">
        <f aca="false">IF(D237="","",IFERROR(INDEX('Reference Tables'!$C$3:$C$8,MATCH(D237,'Reference Tables'!$A$3:$A$8,0)),"Invalid package"))</f>
        <v/>
      </c>
      <c r="G237" s="14" t="str">
        <f aca="false">IF(E237="","",'Reference Tables'!$C$15)</f>
        <v/>
      </c>
      <c r="H237" s="12" t="str">
        <f aca="false">IF(E237="","",IF(E237&gt;=150,"Yes","No"))</f>
        <v/>
      </c>
      <c r="I237" s="13" t="str">
        <f aca="false">IF(E237="","",IF(H237="Yes",E237*G237,0))</f>
        <v/>
      </c>
      <c r="J237" s="13" t="str">
        <f aca="false">IF(E237="","",E237-I237)</f>
        <v/>
      </c>
      <c r="K237" s="6"/>
      <c r="L237" s="6"/>
    </row>
    <row r="238" customFormat="false" ht="15" hidden="false" customHeight="false" outlineLevel="0" collapsed="false">
      <c r="A238" s="11"/>
      <c r="B238" s="6"/>
      <c r="C238" s="12" t="str">
        <f aca="false">IF(B238="","",IFERROR(INDEX('Gold Registry'!$B$4:$B$103,MATCH(B238,'Gold Registry'!$A$4:$A$103,0)),"Not found"))</f>
        <v/>
      </c>
      <c r="D238" s="6"/>
      <c r="E238" s="13" t="str">
        <f aca="false">IF(D238="","",IFERROR(INDEX('Reference Tables'!$B$3:$B$8,MATCH(D238,'Reference Tables'!$A$3:$A$8,0)),"Invalid package"))</f>
        <v/>
      </c>
      <c r="F238" s="12" t="str">
        <f aca="false">IF(D238="","",IFERROR(INDEX('Reference Tables'!$C$3:$C$8,MATCH(D238,'Reference Tables'!$A$3:$A$8,0)),"Invalid package"))</f>
        <v/>
      </c>
      <c r="G238" s="14" t="str">
        <f aca="false">IF(E238="","",'Reference Tables'!$C$15)</f>
        <v/>
      </c>
      <c r="H238" s="12" t="str">
        <f aca="false">IF(E238="","",IF(E238&gt;=150,"Yes","No"))</f>
        <v/>
      </c>
      <c r="I238" s="13" t="str">
        <f aca="false">IF(E238="","",IF(H238="Yes",E238*G238,0))</f>
        <v/>
      </c>
      <c r="J238" s="13" t="str">
        <f aca="false">IF(E238="","",E238-I238)</f>
        <v/>
      </c>
      <c r="K238" s="6"/>
      <c r="L238" s="6"/>
    </row>
    <row r="239" customFormat="false" ht="15" hidden="false" customHeight="false" outlineLevel="0" collapsed="false">
      <c r="A239" s="11"/>
      <c r="B239" s="6"/>
      <c r="C239" s="12" t="str">
        <f aca="false">IF(B239="","",IFERROR(INDEX('Gold Registry'!$B$4:$B$103,MATCH(B239,'Gold Registry'!$A$4:$A$103,0)),"Not found"))</f>
        <v/>
      </c>
      <c r="D239" s="6"/>
      <c r="E239" s="13" t="str">
        <f aca="false">IF(D239="","",IFERROR(INDEX('Reference Tables'!$B$3:$B$8,MATCH(D239,'Reference Tables'!$A$3:$A$8,0)),"Invalid package"))</f>
        <v/>
      </c>
      <c r="F239" s="12" t="str">
        <f aca="false">IF(D239="","",IFERROR(INDEX('Reference Tables'!$C$3:$C$8,MATCH(D239,'Reference Tables'!$A$3:$A$8,0)),"Invalid package"))</f>
        <v/>
      </c>
      <c r="G239" s="14" t="str">
        <f aca="false">IF(E239="","",'Reference Tables'!$C$15)</f>
        <v/>
      </c>
      <c r="H239" s="12" t="str">
        <f aca="false">IF(E239="","",IF(E239&gt;=150,"Yes","No"))</f>
        <v/>
      </c>
      <c r="I239" s="13" t="str">
        <f aca="false">IF(E239="","",IF(H239="Yes",E239*G239,0))</f>
        <v/>
      </c>
      <c r="J239" s="13" t="str">
        <f aca="false">IF(E239="","",E239-I239)</f>
        <v/>
      </c>
      <c r="K239" s="6"/>
      <c r="L239" s="6"/>
    </row>
    <row r="240" customFormat="false" ht="15" hidden="false" customHeight="false" outlineLevel="0" collapsed="false">
      <c r="A240" s="11"/>
      <c r="B240" s="6"/>
      <c r="C240" s="12" t="str">
        <f aca="false">IF(B240="","",IFERROR(INDEX('Gold Registry'!$B$4:$B$103,MATCH(B240,'Gold Registry'!$A$4:$A$103,0)),"Not found"))</f>
        <v/>
      </c>
      <c r="D240" s="6"/>
      <c r="E240" s="13" t="str">
        <f aca="false">IF(D240="","",IFERROR(INDEX('Reference Tables'!$B$3:$B$8,MATCH(D240,'Reference Tables'!$A$3:$A$8,0)),"Invalid package"))</f>
        <v/>
      </c>
      <c r="F240" s="12" t="str">
        <f aca="false">IF(D240="","",IFERROR(INDEX('Reference Tables'!$C$3:$C$8,MATCH(D240,'Reference Tables'!$A$3:$A$8,0)),"Invalid package"))</f>
        <v/>
      </c>
      <c r="G240" s="14" t="str">
        <f aca="false">IF(E240="","",'Reference Tables'!$C$15)</f>
        <v/>
      </c>
      <c r="H240" s="12" t="str">
        <f aca="false">IF(E240="","",IF(E240&gt;=150,"Yes","No"))</f>
        <v/>
      </c>
      <c r="I240" s="13" t="str">
        <f aca="false">IF(E240="","",IF(H240="Yes",E240*G240,0))</f>
        <v/>
      </c>
      <c r="J240" s="13" t="str">
        <f aca="false">IF(E240="","",E240-I240)</f>
        <v/>
      </c>
      <c r="K240" s="6"/>
      <c r="L240" s="6"/>
    </row>
    <row r="241" customFormat="false" ht="15" hidden="false" customHeight="false" outlineLevel="0" collapsed="false">
      <c r="A241" s="11"/>
      <c r="B241" s="6"/>
      <c r="C241" s="12" t="str">
        <f aca="false">IF(B241="","",IFERROR(INDEX('Gold Registry'!$B$4:$B$103,MATCH(B241,'Gold Registry'!$A$4:$A$103,0)),"Not found"))</f>
        <v/>
      </c>
      <c r="D241" s="6"/>
      <c r="E241" s="13" t="str">
        <f aca="false">IF(D241="","",IFERROR(INDEX('Reference Tables'!$B$3:$B$8,MATCH(D241,'Reference Tables'!$A$3:$A$8,0)),"Invalid package"))</f>
        <v/>
      </c>
      <c r="F241" s="12" t="str">
        <f aca="false">IF(D241="","",IFERROR(INDEX('Reference Tables'!$C$3:$C$8,MATCH(D241,'Reference Tables'!$A$3:$A$8,0)),"Invalid package"))</f>
        <v/>
      </c>
      <c r="G241" s="14" t="str">
        <f aca="false">IF(E241="","",'Reference Tables'!$C$15)</f>
        <v/>
      </c>
      <c r="H241" s="12" t="str">
        <f aca="false">IF(E241="","",IF(E241&gt;=150,"Yes","No"))</f>
        <v/>
      </c>
      <c r="I241" s="13" t="str">
        <f aca="false">IF(E241="","",IF(H241="Yes",E241*G241,0))</f>
        <v/>
      </c>
      <c r="J241" s="13" t="str">
        <f aca="false">IF(E241="","",E241-I241)</f>
        <v/>
      </c>
      <c r="K241" s="6"/>
      <c r="L241" s="6"/>
    </row>
    <row r="242" customFormat="false" ht="15" hidden="false" customHeight="false" outlineLevel="0" collapsed="false">
      <c r="A242" s="11"/>
      <c r="B242" s="6"/>
      <c r="C242" s="12" t="str">
        <f aca="false">IF(B242="","",IFERROR(INDEX('Gold Registry'!$B$4:$B$103,MATCH(B242,'Gold Registry'!$A$4:$A$103,0)),"Not found"))</f>
        <v/>
      </c>
      <c r="D242" s="6"/>
      <c r="E242" s="13" t="str">
        <f aca="false">IF(D242="","",IFERROR(INDEX('Reference Tables'!$B$3:$B$8,MATCH(D242,'Reference Tables'!$A$3:$A$8,0)),"Invalid package"))</f>
        <v/>
      </c>
      <c r="F242" s="12" t="str">
        <f aca="false">IF(D242="","",IFERROR(INDEX('Reference Tables'!$C$3:$C$8,MATCH(D242,'Reference Tables'!$A$3:$A$8,0)),"Invalid package"))</f>
        <v/>
      </c>
      <c r="G242" s="14" t="str">
        <f aca="false">IF(E242="","",'Reference Tables'!$C$15)</f>
        <v/>
      </c>
      <c r="H242" s="12" t="str">
        <f aca="false">IF(E242="","",IF(E242&gt;=150,"Yes","No"))</f>
        <v/>
      </c>
      <c r="I242" s="13" t="str">
        <f aca="false">IF(E242="","",IF(H242="Yes",E242*G242,0))</f>
        <v/>
      </c>
      <c r="J242" s="13" t="str">
        <f aca="false">IF(E242="","",E242-I242)</f>
        <v/>
      </c>
      <c r="K242" s="6"/>
      <c r="L242" s="6"/>
    </row>
    <row r="243" customFormat="false" ht="15" hidden="false" customHeight="false" outlineLevel="0" collapsed="false">
      <c r="A243" s="11"/>
      <c r="B243" s="6"/>
      <c r="C243" s="12" t="str">
        <f aca="false">IF(B243="","",IFERROR(INDEX('Gold Registry'!$B$4:$B$103,MATCH(B243,'Gold Registry'!$A$4:$A$103,0)),"Not found"))</f>
        <v/>
      </c>
      <c r="D243" s="6"/>
      <c r="E243" s="13" t="str">
        <f aca="false">IF(D243="","",IFERROR(INDEX('Reference Tables'!$B$3:$B$8,MATCH(D243,'Reference Tables'!$A$3:$A$8,0)),"Invalid package"))</f>
        <v/>
      </c>
      <c r="F243" s="12" t="str">
        <f aca="false">IF(D243="","",IFERROR(INDEX('Reference Tables'!$C$3:$C$8,MATCH(D243,'Reference Tables'!$A$3:$A$8,0)),"Invalid package"))</f>
        <v/>
      </c>
      <c r="G243" s="14" t="str">
        <f aca="false">IF(E243="","",'Reference Tables'!$C$15)</f>
        <v/>
      </c>
      <c r="H243" s="12" t="str">
        <f aca="false">IF(E243="","",IF(E243&gt;=150,"Yes","No"))</f>
        <v/>
      </c>
      <c r="I243" s="13" t="str">
        <f aca="false">IF(E243="","",IF(H243="Yes",E243*G243,0))</f>
        <v/>
      </c>
      <c r="J243" s="13" t="str">
        <f aca="false">IF(E243="","",E243-I243)</f>
        <v/>
      </c>
      <c r="K243" s="6"/>
      <c r="L243" s="6"/>
    </row>
    <row r="244" customFormat="false" ht="15" hidden="false" customHeight="false" outlineLevel="0" collapsed="false">
      <c r="A244" s="11"/>
      <c r="B244" s="6"/>
      <c r="C244" s="12" t="str">
        <f aca="false">IF(B244="","",IFERROR(INDEX('Gold Registry'!$B$4:$B$103,MATCH(B244,'Gold Registry'!$A$4:$A$103,0)),"Not found"))</f>
        <v/>
      </c>
      <c r="D244" s="6"/>
      <c r="E244" s="13" t="str">
        <f aca="false">IF(D244="","",IFERROR(INDEX('Reference Tables'!$B$3:$B$8,MATCH(D244,'Reference Tables'!$A$3:$A$8,0)),"Invalid package"))</f>
        <v/>
      </c>
      <c r="F244" s="12" t="str">
        <f aca="false">IF(D244="","",IFERROR(INDEX('Reference Tables'!$C$3:$C$8,MATCH(D244,'Reference Tables'!$A$3:$A$8,0)),"Invalid package"))</f>
        <v/>
      </c>
      <c r="G244" s="14" t="str">
        <f aca="false">IF(E244="","",'Reference Tables'!$C$15)</f>
        <v/>
      </c>
      <c r="H244" s="12" t="str">
        <f aca="false">IF(E244="","",IF(E244&gt;=150,"Yes","No"))</f>
        <v/>
      </c>
      <c r="I244" s="13" t="str">
        <f aca="false">IF(E244="","",IF(H244="Yes",E244*G244,0))</f>
        <v/>
      </c>
      <c r="J244" s="13" t="str">
        <f aca="false">IF(E244="","",E244-I244)</f>
        <v/>
      </c>
      <c r="K244" s="6"/>
      <c r="L244" s="6"/>
    </row>
    <row r="245" customFormat="false" ht="15" hidden="false" customHeight="false" outlineLevel="0" collapsed="false">
      <c r="A245" s="11"/>
      <c r="B245" s="6"/>
      <c r="C245" s="12" t="str">
        <f aca="false">IF(B245="","",IFERROR(INDEX('Gold Registry'!$B$4:$B$103,MATCH(B245,'Gold Registry'!$A$4:$A$103,0)),"Not found"))</f>
        <v/>
      </c>
      <c r="D245" s="6"/>
      <c r="E245" s="13" t="str">
        <f aca="false">IF(D245="","",IFERROR(INDEX('Reference Tables'!$B$3:$B$8,MATCH(D245,'Reference Tables'!$A$3:$A$8,0)),"Invalid package"))</f>
        <v/>
      </c>
      <c r="F245" s="12" t="str">
        <f aca="false">IF(D245="","",IFERROR(INDEX('Reference Tables'!$C$3:$C$8,MATCH(D245,'Reference Tables'!$A$3:$A$8,0)),"Invalid package"))</f>
        <v/>
      </c>
      <c r="G245" s="14" t="str">
        <f aca="false">IF(E245="","",'Reference Tables'!$C$15)</f>
        <v/>
      </c>
      <c r="H245" s="12" t="str">
        <f aca="false">IF(E245="","",IF(E245&gt;=150,"Yes","No"))</f>
        <v/>
      </c>
      <c r="I245" s="13" t="str">
        <f aca="false">IF(E245="","",IF(H245="Yes",E245*G245,0))</f>
        <v/>
      </c>
      <c r="J245" s="13" t="str">
        <f aca="false">IF(E245="","",E245-I245)</f>
        <v/>
      </c>
      <c r="K245" s="6"/>
      <c r="L245" s="6"/>
    </row>
    <row r="246" customFormat="false" ht="15" hidden="false" customHeight="false" outlineLevel="0" collapsed="false">
      <c r="A246" s="11"/>
      <c r="B246" s="6"/>
      <c r="C246" s="12" t="str">
        <f aca="false">IF(B246="","",IFERROR(INDEX('Gold Registry'!$B$4:$B$103,MATCH(B246,'Gold Registry'!$A$4:$A$103,0)),"Not found"))</f>
        <v/>
      </c>
      <c r="D246" s="6"/>
      <c r="E246" s="13" t="str">
        <f aca="false">IF(D246="","",IFERROR(INDEX('Reference Tables'!$B$3:$B$8,MATCH(D246,'Reference Tables'!$A$3:$A$8,0)),"Invalid package"))</f>
        <v/>
      </c>
      <c r="F246" s="12" t="str">
        <f aca="false">IF(D246="","",IFERROR(INDEX('Reference Tables'!$C$3:$C$8,MATCH(D246,'Reference Tables'!$A$3:$A$8,0)),"Invalid package"))</f>
        <v/>
      </c>
      <c r="G246" s="14" t="str">
        <f aca="false">IF(E246="","",'Reference Tables'!$C$15)</f>
        <v/>
      </c>
      <c r="H246" s="12" t="str">
        <f aca="false">IF(E246="","",IF(E246&gt;=150,"Yes","No"))</f>
        <v/>
      </c>
      <c r="I246" s="13" t="str">
        <f aca="false">IF(E246="","",IF(H246="Yes",E246*G246,0))</f>
        <v/>
      </c>
      <c r="J246" s="13" t="str">
        <f aca="false">IF(E246="","",E246-I246)</f>
        <v/>
      </c>
      <c r="K246" s="6"/>
      <c r="L246" s="6"/>
    </row>
    <row r="247" customFormat="false" ht="15" hidden="false" customHeight="false" outlineLevel="0" collapsed="false">
      <c r="A247" s="11"/>
      <c r="B247" s="6"/>
      <c r="C247" s="12" t="str">
        <f aca="false">IF(B247="","",IFERROR(INDEX('Gold Registry'!$B$4:$B$103,MATCH(B247,'Gold Registry'!$A$4:$A$103,0)),"Not found"))</f>
        <v/>
      </c>
      <c r="D247" s="6"/>
      <c r="E247" s="13" t="str">
        <f aca="false">IF(D247="","",IFERROR(INDEX('Reference Tables'!$B$3:$B$8,MATCH(D247,'Reference Tables'!$A$3:$A$8,0)),"Invalid package"))</f>
        <v/>
      </c>
      <c r="F247" s="12" t="str">
        <f aca="false">IF(D247="","",IFERROR(INDEX('Reference Tables'!$C$3:$C$8,MATCH(D247,'Reference Tables'!$A$3:$A$8,0)),"Invalid package"))</f>
        <v/>
      </c>
      <c r="G247" s="14" t="str">
        <f aca="false">IF(E247="","",'Reference Tables'!$C$15)</f>
        <v/>
      </c>
      <c r="H247" s="12" t="str">
        <f aca="false">IF(E247="","",IF(E247&gt;=150,"Yes","No"))</f>
        <v/>
      </c>
      <c r="I247" s="13" t="str">
        <f aca="false">IF(E247="","",IF(H247="Yes",E247*G247,0))</f>
        <v/>
      </c>
      <c r="J247" s="13" t="str">
        <f aca="false">IF(E247="","",E247-I247)</f>
        <v/>
      </c>
      <c r="K247" s="6"/>
      <c r="L247" s="6"/>
    </row>
    <row r="248" customFormat="false" ht="15" hidden="false" customHeight="false" outlineLevel="0" collapsed="false">
      <c r="A248" s="11"/>
      <c r="B248" s="6"/>
      <c r="C248" s="12" t="str">
        <f aca="false">IF(B248="","",IFERROR(INDEX('Gold Registry'!$B$4:$B$103,MATCH(B248,'Gold Registry'!$A$4:$A$103,0)),"Not found"))</f>
        <v/>
      </c>
      <c r="D248" s="6"/>
      <c r="E248" s="13" t="str">
        <f aca="false">IF(D248="","",IFERROR(INDEX('Reference Tables'!$B$3:$B$8,MATCH(D248,'Reference Tables'!$A$3:$A$8,0)),"Invalid package"))</f>
        <v/>
      </c>
      <c r="F248" s="12" t="str">
        <f aca="false">IF(D248="","",IFERROR(INDEX('Reference Tables'!$C$3:$C$8,MATCH(D248,'Reference Tables'!$A$3:$A$8,0)),"Invalid package"))</f>
        <v/>
      </c>
      <c r="G248" s="14" t="str">
        <f aca="false">IF(E248="","",'Reference Tables'!$C$15)</f>
        <v/>
      </c>
      <c r="H248" s="12" t="str">
        <f aca="false">IF(E248="","",IF(E248&gt;=150,"Yes","No"))</f>
        <v/>
      </c>
      <c r="I248" s="13" t="str">
        <f aca="false">IF(E248="","",IF(H248="Yes",E248*G248,0))</f>
        <v/>
      </c>
      <c r="J248" s="13" t="str">
        <f aca="false">IF(E248="","",E248-I248)</f>
        <v/>
      </c>
      <c r="K248" s="6"/>
      <c r="L248" s="6"/>
    </row>
    <row r="249" customFormat="false" ht="15" hidden="false" customHeight="false" outlineLevel="0" collapsed="false">
      <c r="A249" s="11"/>
      <c r="B249" s="6"/>
      <c r="C249" s="12" t="str">
        <f aca="false">IF(B249="","",IFERROR(INDEX('Gold Registry'!$B$4:$B$103,MATCH(B249,'Gold Registry'!$A$4:$A$103,0)),"Not found"))</f>
        <v/>
      </c>
      <c r="D249" s="6"/>
      <c r="E249" s="13" t="str">
        <f aca="false">IF(D249="","",IFERROR(INDEX('Reference Tables'!$B$3:$B$8,MATCH(D249,'Reference Tables'!$A$3:$A$8,0)),"Invalid package"))</f>
        <v/>
      </c>
      <c r="F249" s="12" t="str">
        <f aca="false">IF(D249="","",IFERROR(INDEX('Reference Tables'!$C$3:$C$8,MATCH(D249,'Reference Tables'!$A$3:$A$8,0)),"Invalid package"))</f>
        <v/>
      </c>
      <c r="G249" s="14" t="str">
        <f aca="false">IF(E249="","",'Reference Tables'!$C$15)</f>
        <v/>
      </c>
      <c r="H249" s="12" t="str">
        <f aca="false">IF(E249="","",IF(E249&gt;=150,"Yes","No"))</f>
        <v/>
      </c>
      <c r="I249" s="13" t="str">
        <f aca="false">IF(E249="","",IF(H249="Yes",E249*G249,0))</f>
        <v/>
      </c>
      <c r="J249" s="13" t="str">
        <f aca="false">IF(E249="","",E249-I249)</f>
        <v/>
      </c>
      <c r="K249" s="6"/>
      <c r="L249" s="6"/>
    </row>
    <row r="250" customFormat="false" ht="15" hidden="false" customHeight="false" outlineLevel="0" collapsed="false">
      <c r="A250" s="11"/>
      <c r="B250" s="6"/>
      <c r="C250" s="12" t="str">
        <f aca="false">IF(B250="","",IFERROR(INDEX('Gold Registry'!$B$4:$B$103,MATCH(B250,'Gold Registry'!$A$4:$A$103,0)),"Not found"))</f>
        <v/>
      </c>
      <c r="D250" s="6"/>
      <c r="E250" s="13" t="str">
        <f aca="false">IF(D250="","",IFERROR(INDEX('Reference Tables'!$B$3:$B$8,MATCH(D250,'Reference Tables'!$A$3:$A$8,0)),"Invalid package"))</f>
        <v/>
      </c>
      <c r="F250" s="12" t="str">
        <f aca="false">IF(D250="","",IFERROR(INDEX('Reference Tables'!$C$3:$C$8,MATCH(D250,'Reference Tables'!$A$3:$A$8,0)),"Invalid package"))</f>
        <v/>
      </c>
      <c r="G250" s="14" t="str">
        <f aca="false">IF(E250="","",'Reference Tables'!$C$15)</f>
        <v/>
      </c>
      <c r="H250" s="12" t="str">
        <f aca="false">IF(E250="","",IF(E250&gt;=150,"Yes","No"))</f>
        <v/>
      </c>
      <c r="I250" s="13" t="str">
        <f aca="false">IF(E250="","",IF(H250="Yes",E250*G250,0))</f>
        <v/>
      </c>
      <c r="J250" s="13" t="str">
        <f aca="false">IF(E250="","",E250-I250)</f>
        <v/>
      </c>
      <c r="K250" s="6"/>
      <c r="L250" s="6"/>
    </row>
    <row r="251" customFormat="false" ht="15" hidden="false" customHeight="false" outlineLevel="0" collapsed="false">
      <c r="A251" s="11"/>
      <c r="B251" s="6"/>
      <c r="C251" s="12" t="str">
        <f aca="false">IF(B251="","",IFERROR(INDEX('Gold Registry'!$B$4:$B$103,MATCH(B251,'Gold Registry'!$A$4:$A$103,0)),"Not found"))</f>
        <v/>
      </c>
      <c r="D251" s="6"/>
      <c r="E251" s="13" t="str">
        <f aca="false">IF(D251="","",IFERROR(INDEX('Reference Tables'!$B$3:$B$8,MATCH(D251,'Reference Tables'!$A$3:$A$8,0)),"Invalid package"))</f>
        <v/>
      </c>
      <c r="F251" s="12" t="str">
        <f aca="false">IF(D251="","",IFERROR(INDEX('Reference Tables'!$C$3:$C$8,MATCH(D251,'Reference Tables'!$A$3:$A$8,0)),"Invalid package"))</f>
        <v/>
      </c>
      <c r="G251" s="14" t="str">
        <f aca="false">IF(E251="","",'Reference Tables'!$C$15)</f>
        <v/>
      </c>
      <c r="H251" s="12" t="str">
        <f aca="false">IF(E251="","",IF(E251&gt;=150,"Yes","No"))</f>
        <v/>
      </c>
      <c r="I251" s="13" t="str">
        <f aca="false">IF(E251="","",IF(H251="Yes",E251*G251,0))</f>
        <v/>
      </c>
      <c r="J251" s="13" t="str">
        <f aca="false">IF(E251="","",E251-I251)</f>
        <v/>
      </c>
      <c r="K251" s="6"/>
      <c r="L251" s="6"/>
    </row>
    <row r="252" customFormat="false" ht="15" hidden="false" customHeight="false" outlineLevel="0" collapsed="false">
      <c r="A252" s="11"/>
      <c r="B252" s="6"/>
      <c r="C252" s="12" t="str">
        <f aca="false">IF(B252="","",IFERROR(INDEX('Gold Registry'!$B$4:$B$103,MATCH(B252,'Gold Registry'!$A$4:$A$103,0)),"Not found"))</f>
        <v/>
      </c>
      <c r="D252" s="6"/>
      <c r="E252" s="13" t="str">
        <f aca="false">IF(D252="","",IFERROR(INDEX('Reference Tables'!$B$3:$B$8,MATCH(D252,'Reference Tables'!$A$3:$A$8,0)),"Invalid package"))</f>
        <v/>
      </c>
      <c r="F252" s="12" t="str">
        <f aca="false">IF(D252="","",IFERROR(INDEX('Reference Tables'!$C$3:$C$8,MATCH(D252,'Reference Tables'!$A$3:$A$8,0)),"Invalid package"))</f>
        <v/>
      </c>
      <c r="G252" s="14" t="str">
        <f aca="false">IF(E252="","",'Reference Tables'!$C$15)</f>
        <v/>
      </c>
      <c r="H252" s="12" t="str">
        <f aca="false">IF(E252="","",IF(E252&gt;=150,"Yes","No"))</f>
        <v/>
      </c>
      <c r="I252" s="13" t="str">
        <f aca="false">IF(E252="","",IF(H252="Yes",E252*G252,0))</f>
        <v/>
      </c>
      <c r="J252" s="13" t="str">
        <f aca="false">IF(E252="","",E252-I252)</f>
        <v/>
      </c>
      <c r="K252" s="6"/>
      <c r="L252" s="6"/>
    </row>
    <row r="253" customFormat="false" ht="15" hidden="false" customHeight="false" outlineLevel="0" collapsed="false">
      <c r="A253" s="11"/>
      <c r="B253" s="6"/>
      <c r="C253" s="12" t="str">
        <f aca="false">IF(B253="","",IFERROR(INDEX('Gold Registry'!$B$4:$B$103,MATCH(B253,'Gold Registry'!$A$4:$A$103,0)),"Not found"))</f>
        <v/>
      </c>
      <c r="D253" s="6"/>
      <c r="E253" s="13" t="str">
        <f aca="false">IF(D253="","",IFERROR(INDEX('Reference Tables'!$B$3:$B$8,MATCH(D253,'Reference Tables'!$A$3:$A$8,0)),"Invalid package"))</f>
        <v/>
      </c>
      <c r="F253" s="12" t="str">
        <f aca="false">IF(D253="","",IFERROR(INDEX('Reference Tables'!$C$3:$C$8,MATCH(D253,'Reference Tables'!$A$3:$A$8,0)),"Invalid package"))</f>
        <v/>
      </c>
      <c r="G253" s="14" t="str">
        <f aca="false">IF(E253="","",'Reference Tables'!$C$15)</f>
        <v/>
      </c>
      <c r="H253" s="12" t="str">
        <f aca="false">IF(E253="","",IF(E253&gt;=150,"Yes","No"))</f>
        <v/>
      </c>
      <c r="I253" s="13" t="str">
        <f aca="false">IF(E253="","",IF(H253="Yes",E253*G253,0))</f>
        <v/>
      </c>
      <c r="J253" s="13" t="str">
        <f aca="false">IF(E253="","",E253-I253)</f>
        <v/>
      </c>
      <c r="K253" s="6"/>
      <c r="L253" s="6"/>
    </row>
  </sheetData>
  <dataValidations count="1">
    <dataValidation allowBlank="true" errorStyle="stop" operator="between" showDropDown="false" showErrorMessage="false" showInputMessage="false" sqref="D4:D253" type="list">
      <formula1>'Reference Tables'!$A$3:$A$8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16"/>
    <col collapsed="false" customWidth="true" hidden="false" outlineLevel="0" max="4" min="4" style="0" width="15"/>
    <col collapsed="false" customWidth="true" hidden="false" outlineLevel="0" max="5" min="5" style="0" width="16"/>
    <col collapsed="false" customWidth="true" hidden="false" outlineLevel="0" max="6" min="6" style="0" width="13"/>
    <col collapsed="false" customWidth="true" hidden="false" outlineLevel="0" max="7" min="7" style="0" width="14"/>
    <col collapsed="false" customWidth="true" hidden="false" outlineLevel="0" max="8" min="8" style="0" width="12"/>
    <col collapsed="false" customWidth="true" hidden="false" outlineLevel="0" max="9" min="9" style="0" width="14"/>
    <col collapsed="false" customWidth="true" hidden="false" outlineLevel="0" max="10" min="10" style="0" width="16"/>
    <col collapsed="false" customWidth="true" hidden="false" outlineLevel="0" max="11" min="11" style="0" width="26"/>
  </cols>
  <sheetData>
    <row r="1" customFormat="false" ht="17.35" hidden="false" customHeight="false" outlineLevel="0" collapsed="false">
      <c r="A1" s="1" t="s">
        <v>92</v>
      </c>
    </row>
    <row r="2" customFormat="false" ht="15" hidden="false" customHeight="false" outlineLevel="0" collapsed="false">
      <c r="A2" s="2" t="s">
        <v>93</v>
      </c>
    </row>
    <row r="3" customFormat="false" ht="31.5" hidden="false" customHeight="true" outlineLevel="0" collapsed="false">
      <c r="A3" s="18" t="s">
        <v>53</v>
      </c>
      <c r="B3" s="18" t="s">
        <v>54</v>
      </c>
      <c r="C3" s="18" t="s">
        <v>55</v>
      </c>
      <c r="D3" s="18" t="s">
        <v>56</v>
      </c>
      <c r="E3" s="18" t="s">
        <v>80</v>
      </c>
      <c r="F3" s="18" t="s">
        <v>81</v>
      </c>
      <c r="G3" s="18" t="s">
        <v>57</v>
      </c>
      <c r="H3" s="18" t="s">
        <v>58</v>
      </c>
      <c r="I3" s="18" t="s">
        <v>82</v>
      </c>
      <c r="J3" s="18" t="s">
        <v>59</v>
      </c>
      <c r="K3" s="18" t="s">
        <v>60</v>
      </c>
    </row>
    <row r="4" customFormat="false" ht="15" hidden="false" customHeight="false" outlineLevel="0" collapsed="false">
      <c r="A4" s="6" t="s">
        <v>94</v>
      </c>
      <c r="B4" s="6" t="s">
        <v>62</v>
      </c>
      <c r="C4" s="6" t="s">
        <v>63</v>
      </c>
      <c r="D4" s="11" t="s">
        <v>64</v>
      </c>
      <c r="E4" s="6" t="s">
        <v>89</v>
      </c>
      <c r="F4" s="12" t="n">
        <f aca="false">IF(E4="",0,IFERROR(INDEX('Gold Registry'!$H$4:$H$103,MATCH(E4,'Gold Registry'!$A$4:$A$103,0)),0))</f>
        <v>30</v>
      </c>
      <c r="G4" s="12" t="n">
        <f aca="false">IF(A4="","",SUMIFS('Black Log'!$F$4:$F$1000,'Black Log'!$B$4:$B$1000,A4))</f>
        <v>10</v>
      </c>
      <c r="H4" s="12" t="n">
        <f aca="false">IF(A4="","",F4+G4)</f>
        <v>40</v>
      </c>
      <c r="I4" s="6" t="s">
        <v>84</v>
      </c>
      <c r="J4" s="16" t="s">
        <v>95</v>
      </c>
      <c r="K4" s="12" t="str">
        <f aca="false">IF(A4="","","Highest tier — no upgrade")</f>
        <v>Highest tier — no upgrade</v>
      </c>
    </row>
    <row r="5" customFormat="false" ht="15" hidden="false" customHeight="false" outlineLevel="0" collapsed="false">
      <c r="A5" s="6"/>
      <c r="B5" s="6"/>
      <c r="C5" s="6"/>
      <c r="D5" s="11"/>
      <c r="E5" s="6"/>
      <c r="F5" s="12" t="n">
        <f aca="false">IF(E5="",0,IFERROR(INDEX('Gold Registry'!$H$4:$H$103,MATCH(E5,'Gold Registry'!$A$4:$A$103,0)),0))</f>
        <v>0</v>
      </c>
      <c r="G5" s="12" t="str">
        <f aca="false">IF(A5="","",SUMIFS('Black Log'!$F$4:$F$1000,'Black Log'!$B$4:$B$1000,A5))</f>
        <v/>
      </c>
      <c r="H5" s="12" t="str">
        <f aca="false">IF(A5="","",F5+G5)</f>
        <v/>
      </c>
      <c r="I5" s="6"/>
      <c r="J5" s="16"/>
      <c r="K5" s="12" t="str">
        <f aca="false">IF(A5="","","Highest tier — no upgrade")</f>
        <v/>
      </c>
    </row>
    <row r="6" customFormat="false" ht="15" hidden="false" customHeight="false" outlineLevel="0" collapsed="false">
      <c r="A6" s="6"/>
      <c r="B6" s="6"/>
      <c r="C6" s="6"/>
      <c r="D6" s="11"/>
      <c r="E6" s="6"/>
      <c r="F6" s="12" t="n">
        <f aca="false">IF(E6="",0,IFERROR(INDEX('Gold Registry'!$H$4:$H$103,MATCH(E6,'Gold Registry'!$A$4:$A$103,0)),0))</f>
        <v>0</v>
      </c>
      <c r="G6" s="12" t="str">
        <f aca="false">IF(A6="","",SUMIFS('Black Log'!$F$4:$F$1000,'Black Log'!$B$4:$B$1000,A6))</f>
        <v/>
      </c>
      <c r="H6" s="12" t="str">
        <f aca="false">IF(A6="","",F6+G6)</f>
        <v/>
      </c>
      <c r="I6" s="6"/>
      <c r="J6" s="16"/>
      <c r="K6" s="12" t="str">
        <f aca="false">IF(A6="","","Highest tier — no upgrade")</f>
        <v/>
      </c>
    </row>
    <row r="7" customFormat="false" ht="15" hidden="false" customHeight="false" outlineLevel="0" collapsed="false">
      <c r="A7" s="6"/>
      <c r="B7" s="6"/>
      <c r="C7" s="6"/>
      <c r="D7" s="11"/>
      <c r="E7" s="6"/>
      <c r="F7" s="12" t="n">
        <f aca="false">IF(E7="",0,IFERROR(INDEX('Gold Registry'!$H$4:$H$103,MATCH(E7,'Gold Registry'!$A$4:$A$103,0)),0))</f>
        <v>0</v>
      </c>
      <c r="G7" s="12" t="str">
        <f aca="false">IF(A7="","",SUMIFS('Black Log'!$F$4:$F$1000,'Black Log'!$B$4:$B$1000,A7))</f>
        <v/>
      </c>
      <c r="H7" s="12" t="str">
        <f aca="false">IF(A7="","",F7+G7)</f>
        <v/>
      </c>
      <c r="I7" s="6"/>
      <c r="J7" s="16"/>
      <c r="K7" s="12" t="str">
        <f aca="false">IF(A7="","","Highest tier — no upgrade")</f>
        <v/>
      </c>
    </row>
    <row r="8" customFormat="false" ht="15" hidden="false" customHeight="false" outlineLevel="0" collapsed="false">
      <c r="A8" s="6"/>
      <c r="B8" s="6"/>
      <c r="C8" s="6"/>
      <c r="D8" s="11"/>
      <c r="E8" s="6"/>
      <c r="F8" s="12" t="n">
        <f aca="false">IF(E8="",0,IFERROR(INDEX('Gold Registry'!$H$4:$H$103,MATCH(E8,'Gold Registry'!$A$4:$A$103,0)),0))</f>
        <v>0</v>
      </c>
      <c r="G8" s="12" t="str">
        <f aca="false">IF(A8="","",SUMIFS('Black Log'!$F$4:$F$1000,'Black Log'!$B$4:$B$1000,A8))</f>
        <v/>
      </c>
      <c r="H8" s="12" t="str">
        <f aca="false">IF(A8="","",F8+G8)</f>
        <v/>
      </c>
      <c r="I8" s="6"/>
      <c r="J8" s="16"/>
      <c r="K8" s="12" t="str">
        <f aca="false">IF(A8="","","Highest tier — no upgrade")</f>
        <v/>
      </c>
    </row>
    <row r="9" customFormat="false" ht="15" hidden="false" customHeight="false" outlineLevel="0" collapsed="false">
      <c r="A9" s="6"/>
      <c r="B9" s="6"/>
      <c r="C9" s="6"/>
      <c r="D9" s="11"/>
      <c r="E9" s="6"/>
      <c r="F9" s="12" t="n">
        <f aca="false">IF(E9="",0,IFERROR(INDEX('Gold Registry'!$H$4:$H$103,MATCH(E9,'Gold Registry'!$A$4:$A$103,0)),0))</f>
        <v>0</v>
      </c>
      <c r="G9" s="12" t="str">
        <f aca="false">IF(A9="","",SUMIFS('Black Log'!$F$4:$F$1000,'Black Log'!$B$4:$B$1000,A9))</f>
        <v/>
      </c>
      <c r="H9" s="12" t="str">
        <f aca="false">IF(A9="","",F9+G9)</f>
        <v/>
      </c>
      <c r="I9" s="6"/>
      <c r="J9" s="16"/>
      <c r="K9" s="12" t="str">
        <f aca="false">IF(A9="","","Highest tier — no upgrade")</f>
        <v/>
      </c>
    </row>
    <row r="10" customFormat="false" ht="15" hidden="false" customHeight="false" outlineLevel="0" collapsed="false">
      <c r="A10" s="6"/>
      <c r="B10" s="6"/>
      <c r="C10" s="6"/>
      <c r="D10" s="11"/>
      <c r="E10" s="6"/>
      <c r="F10" s="12" t="n">
        <f aca="false">IF(E10="",0,IFERROR(INDEX('Gold Registry'!$H$4:$H$103,MATCH(E10,'Gold Registry'!$A$4:$A$103,0)),0))</f>
        <v>0</v>
      </c>
      <c r="G10" s="12" t="str">
        <f aca="false">IF(A10="","",SUMIFS('Black Log'!$F$4:$F$1000,'Black Log'!$B$4:$B$1000,A10))</f>
        <v/>
      </c>
      <c r="H10" s="12" t="str">
        <f aca="false">IF(A10="","",F10+G10)</f>
        <v/>
      </c>
      <c r="I10" s="6"/>
      <c r="J10" s="16"/>
      <c r="K10" s="12" t="str">
        <f aca="false">IF(A10="","","Highest tier — no upgrade")</f>
        <v/>
      </c>
    </row>
    <row r="11" customFormat="false" ht="15" hidden="false" customHeight="false" outlineLevel="0" collapsed="false">
      <c r="A11" s="6"/>
      <c r="B11" s="6"/>
      <c r="C11" s="6"/>
      <c r="D11" s="11"/>
      <c r="E11" s="6"/>
      <c r="F11" s="12" t="n">
        <f aca="false">IF(E11="",0,IFERROR(INDEX('Gold Registry'!$H$4:$H$103,MATCH(E11,'Gold Registry'!$A$4:$A$103,0)),0))</f>
        <v>0</v>
      </c>
      <c r="G11" s="12" t="str">
        <f aca="false">IF(A11="","",SUMIFS('Black Log'!$F$4:$F$1000,'Black Log'!$B$4:$B$1000,A11))</f>
        <v/>
      </c>
      <c r="H11" s="12" t="str">
        <f aca="false">IF(A11="","",F11+G11)</f>
        <v/>
      </c>
      <c r="I11" s="6"/>
      <c r="J11" s="16"/>
      <c r="K11" s="12" t="str">
        <f aca="false">IF(A11="","","Highest tier — no upgrade")</f>
        <v/>
      </c>
    </row>
    <row r="12" customFormat="false" ht="15" hidden="false" customHeight="false" outlineLevel="0" collapsed="false">
      <c r="A12" s="6"/>
      <c r="B12" s="6"/>
      <c r="C12" s="6"/>
      <c r="D12" s="11"/>
      <c r="E12" s="6"/>
      <c r="F12" s="12" t="n">
        <f aca="false">IF(E12="",0,IFERROR(INDEX('Gold Registry'!$H$4:$H$103,MATCH(E12,'Gold Registry'!$A$4:$A$103,0)),0))</f>
        <v>0</v>
      </c>
      <c r="G12" s="12" t="str">
        <f aca="false">IF(A12="","",SUMIFS('Black Log'!$F$4:$F$1000,'Black Log'!$B$4:$B$1000,A12))</f>
        <v/>
      </c>
      <c r="H12" s="12" t="str">
        <f aca="false">IF(A12="","",F12+G12)</f>
        <v/>
      </c>
      <c r="I12" s="6"/>
      <c r="J12" s="16"/>
      <c r="K12" s="12" t="str">
        <f aca="false">IF(A12="","","Highest tier — no upgrade")</f>
        <v/>
      </c>
    </row>
    <row r="13" customFormat="false" ht="15" hidden="false" customHeight="false" outlineLevel="0" collapsed="false">
      <c r="A13" s="6"/>
      <c r="B13" s="6"/>
      <c r="C13" s="6"/>
      <c r="D13" s="11"/>
      <c r="E13" s="6"/>
      <c r="F13" s="12" t="n">
        <f aca="false">IF(E13="",0,IFERROR(INDEX('Gold Registry'!$H$4:$H$103,MATCH(E13,'Gold Registry'!$A$4:$A$103,0)),0))</f>
        <v>0</v>
      </c>
      <c r="G13" s="12" t="str">
        <f aca="false">IF(A13="","",SUMIFS('Black Log'!$F$4:$F$1000,'Black Log'!$B$4:$B$1000,A13))</f>
        <v/>
      </c>
      <c r="H13" s="12" t="str">
        <f aca="false">IF(A13="","",F13+G13)</f>
        <v/>
      </c>
      <c r="I13" s="6"/>
      <c r="J13" s="16"/>
      <c r="K13" s="12" t="str">
        <f aca="false">IF(A13="","","Highest tier — no upgrade")</f>
        <v/>
      </c>
    </row>
    <row r="14" customFormat="false" ht="15" hidden="false" customHeight="false" outlineLevel="0" collapsed="false">
      <c r="A14" s="6"/>
      <c r="B14" s="6"/>
      <c r="C14" s="6"/>
      <c r="D14" s="11"/>
      <c r="E14" s="6"/>
      <c r="F14" s="12" t="n">
        <f aca="false">IF(E14="",0,IFERROR(INDEX('Gold Registry'!$H$4:$H$103,MATCH(E14,'Gold Registry'!$A$4:$A$103,0)),0))</f>
        <v>0</v>
      </c>
      <c r="G14" s="12" t="str">
        <f aca="false">IF(A14="","",SUMIFS('Black Log'!$F$4:$F$1000,'Black Log'!$B$4:$B$1000,A14))</f>
        <v/>
      </c>
      <c r="H14" s="12" t="str">
        <f aca="false">IF(A14="","",F14+G14)</f>
        <v/>
      </c>
      <c r="I14" s="6"/>
      <c r="J14" s="16"/>
      <c r="K14" s="12" t="str">
        <f aca="false">IF(A14="","","Highest tier — no upgrade")</f>
        <v/>
      </c>
    </row>
    <row r="15" customFormat="false" ht="15" hidden="false" customHeight="false" outlineLevel="0" collapsed="false">
      <c r="A15" s="6"/>
      <c r="B15" s="6"/>
      <c r="C15" s="6"/>
      <c r="D15" s="11"/>
      <c r="E15" s="6"/>
      <c r="F15" s="12" t="n">
        <f aca="false">IF(E15="",0,IFERROR(INDEX('Gold Registry'!$H$4:$H$103,MATCH(E15,'Gold Registry'!$A$4:$A$103,0)),0))</f>
        <v>0</v>
      </c>
      <c r="G15" s="12" t="str">
        <f aca="false">IF(A15="","",SUMIFS('Black Log'!$F$4:$F$1000,'Black Log'!$B$4:$B$1000,A15))</f>
        <v/>
      </c>
      <c r="H15" s="12" t="str">
        <f aca="false">IF(A15="","",F15+G15)</f>
        <v/>
      </c>
      <c r="I15" s="6"/>
      <c r="J15" s="16"/>
      <c r="K15" s="12" t="str">
        <f aca="false">IF(A15="","","Highest tier — no upgrade")</f>
        <v/>
      </c>
    </row>
    <row r="16" customFormat="false" ht="15" hidden="false" customHeight="false" outlineLevel="0" collapsed="false">
      <c r="A16" s="6"/>
      <c r="B16" s="6"/>
      <c r="C16" s="6"/>
      <c r="D16" s="11"/>
      <c r="E16" s="6"/>
      <c r="F16" s="12" t="n">
        <f aca="false">IF(E16="",0,IFERROR(INDEX('Gold Registry'!$H$4:$H$103,MATCH(E16,'Gold Registry'!$A$4:$A$103,0)),0))</f>
        <v>0</v>
      </c>
      <c r="G16" s="12" t="str">
        <f aca="false">IF(A16="","",SUMIFS('Black Log'!$F$4:$F$1000,'Black Log'!$B$4:$B$1000,A16))</f>
        <v/>
      </c>
      <c r="H16" s="12" t="str">
        <f aca="false">IF(A16="","",F16+G16)</f>
        <v/>
      </c>
      <c r="I16" s="6"/>
      <c r="J16" s="16"/>
      <c r="K16" s="12" t="str">
        <f aca="false">IF(A16="","","Highest tier — no upgrade")</f>
        <v/>
      </c>
    </row>
    <row r="17" customFormat="false" ht="15" hidden="false" customHeight="false" outlineLevel="0" collapsed="false">
      <c r="A17" s="6"/>
      <c r="B17" s="6"/>
      <c r="C17" s="6"/>
      <c r="D17" s="11"/>
      <c r="E17" s="6"/>
      <c r="F17" s="12" t="n">
        <f aca="false">IF(E17="",0,IFERROR(INDEX('Gold Registry'!$H$4:$H$103,MATCH(E17,'Gold Registry'!$A$4:$A$103,0)),0))</f>
        <v>0</v>
      </c>
      <c r="G17" s="12" t="str">
        <f aca="false">IF(A17="","",SUMIFS('Black Log'!$F$4:$F$1000,'Black Log'!$B$4:$B$1000,A17))</f>
        <v/>
      </c>
      <c r="H17" s="12" t="str">
        <f aca="false">IF(A17="","",F17+G17)</f>
        <v/>
      </c>
      <c r="I17" s="6"/>
      <c r="J17" s="16"/>
      <c r="K17" s="12" t="str">
        <f aca="false">IF(A17="","","Highest tier — no upgrade")</f>
        <v/>
      </c>
    </row>
    <row r="18" customFormat="false" ht="15" hidden="false" customHeight="false" outlineLevel="0" collapsed="false">
      <c r="A18" s="6"/>
      <c r="B18" s="6"/>
      <c r="C18" s="6"/>
      <c r="D18" s="11"/>
      <c r="E18" s="6"/>
      <c r="F18" s="12" t="n">
        <f aca="false">IF(E18="",0,IFERROR(INDEX('Gold Registry'!$H$4:$H$103,MATCH(E18,'Gold Registry'!$A$4:$A$103,0)),0))</f>
        <v>0</v>
      </c>
      <c r="G18" s="12" t="str">
        <f aca="false">IF(A18="","",SUMIFS('Black Log'!$F$4:$F$1000,'Black Log'!$B$4:$B$1000,A18))</f>
        <v/>
      </c>
      <c r="H18" s="12" t="str">
        <f aca="false">IF(A18="","",F18+G18)</f>
        <v/>
      </c>
      <c r="I18" s="6"/>
      <c r="J18" s="16"/>
      <c r="K18" s="12" t="str">
        <f aca="false">IF(A18="","","Highest tier — no upgrade")</f>
        <v/>
      </c>
    </row>
    <row r="19" customFormat="false" ht="15" hidden="false" customHeight="false" outlineLevel="0" collapsed="false">
      <c r="A19" s="6"/>
      <c r="B19" s="6"/>
      <c r="C19" s="6"/>
      <c r="D19" s="11"/>
      <c r="E19" s="6"/>
      <c r="F19" s="12" t="n">
        <f aca="false">IF(E19="",0,IFERROR(INDEX('Gold Registry'!$H$4:$H$103,MATCH(E19,'Gold Registry'!$A$4:$A$103,0)),0))</f>
        <v>0</v>
      </c>
      <c r="G19" s="12" t="str">
        <f aca="false">IF(A19="","",SUMIFS('Black Log'!$F$4:$F$1000,'Black Log'!$B$4:$B$1000,A19))</f>
        <v/>
      </c>
      <c r="H19" s="12" t="str">
        <f aca="false">IF(A19="","",F19+G19)</f>
        <v/>
      </c>
      <c r="I19" s="6"/>
      <c r="J19" s="16"/>
      <c r="K19" s="12" t="str">
        <f aca="false">IF(A19="","","Highest tier — no upgrade")</f>
        <v/>
      </c>
    </row>
    <row r="20" customFormat="false" ht="15" hidden="false" customHeight="false" outlineLevel="0" collapsed="false">
      <c r="A20" s="6"/>
      <c r="B20" s="6"/>
      <c r="C20" s="6"/>
      <c r="D20" s="11"/>
      <c r="E20" s="6"/>
      <c r="F20" s="12" t="n">
        <f aca="false">IF(E20="",0,IFERROR(INDEX('Gold Registry'!$H$4:$H$103,MATCH(E20,'Gold Registry'!$A$4:$A$103,0)),0))</f>
        <v>0</v>
      </c>
      <c r="G20" s="12" t="str">
        <f aca="false">IF(A20="","",SUMIFS('Black Log'!$F$4:$F$1000,'Black Log'!$B$4:$B$1000,A20))</f>
        <v/>
      </c>
      <c r="H20" s="12" t="str">
        <f aca="false">IF(A20="","",F20+G20)</f>
        <v/>
      </c>
      <c r="I20" s="6"/>
      <c r="J20" s="16"/>
      <c r="K20" s="12" t="str">
        <f aca="false">IF(A20="","","Highest tier — no upgrade")</f>
        <v/>
      </c>
    </row>
    <row r="21" customFormat="false" ht="15" hidden="false" customHeight="false" outlineLevel="0" collapsed="false">
      <c r="A21" s="6"/>
      <c r="B21" s="6"/>
      <c r="C21" s="6"/>
      <c r="D21" s="11"/>
      <c r="E21" s="6"/>
      <c r="F21" s="12" t="n">
        <f aca="false">IF(E21="",0,IFERROR(INDEX('Gold Registry'!$H$4:$H$103,MATCH(E21,'Gold Registry'!$A$4:$A$103,0)),0))</f>
        <v>0</v>
      </c>
      <c r="G21" s="12" t="str">
        <f aca="false">IF(A21="","",SUMIFS('Black Log'!$F$4:$F$1000,'Black Log'!$B$4:$B$1000,A21))</f>
        <v/>
      </c>
      <c r="H21" s="12" t="str">
        <f aca="false">IF(A21="","",F21+G21)</f>
        <v/>
      </c>
      <c r="I21" s="6"/>
      <c r="J21" s="16"/>
      <c r="K21" s="12" t="str">
        <f aca="false">IF(A21="","","Highest tier — no upgrade")</f>
        <v/>
      </c>
    </row>
    <row r="22" customFormat="false" ht="15" hidden="false" customHeight="false" outlineLevel="0" collapsed="false">
      <c r="A22" s="6"/>
      <c r="B22" s="6"/>
      <c r="C22" s="6"/>
      <c r="D22" s="11"/>
      <c r="E22" s="6"/>
      <c r="F22" s="12" t="n">
        <f aca="false">IF(E22="",0,IFERROR(INDEX('Gold Registry'!$H$4:$H$103,MATCH(E22,'Gold Registry'!$A$4:$A$103,0)),0))</f>
        <v>0</v>
      </c>
      <c r="G22" s="12" t="str">
        <f aca="false">IF(A22="","",SUMIFS('Black Log'!$F$4:$F$1000,'Black Log'!$B$4:$B$1000,A22))</f>
        <v/>
      </c>
      <c r="H22" s="12" t="str">
        <f aca="false">IF(A22="","",F22+G22)</f>
        <v/>
      </c>
      <c r="I22" s="6"/>
      <c r="J22" s="16"/>
      <c r="K22" s="12" t="str">
        <f aca="false">IF(A22="","","Highest tier — no upgrade")</f>
        <v/>
      </c>
    </row>
    <row r="23" customFormat="false" ht="15" hidden="false" customHeight="false" outlineLevel="0" collapsed="false">
      <c r="A23" s="6"/>
      <c r="B23" s="6"/>
      <c r="C23" s="6"/>
      <c r="D23" s="11"/>
      <c r="E23" s="6"/>
      <c r="F23" s="12" t="n">
        <f aca="false">IF(E23="",0,IFERROR(INDEX('Gold Registry'!$H$4:$H$103,MATCH(E23,'Gold Registry'!$A$4:$A$103,0)),0))</f>
        <v>0</v>
      </c>
      <c r="G23" s="12" t="str">
        <f aca="false">IF(A23="","",SUMIFS('Black Log'!$F$4:$F$1000,'Black Log'!$B$4:$B$1000,A23))</f>
        <v/>
      </c>
      <c r="H23" s="12" t="str">
        <f aca="false">IF(A23="","",F23+G23)</f>
        <v/>
      </c>
      <c r="I23" s="6"/>
      <c r="J23" s="16"/>
      <c r="K23" s="12" t="str">
        <f aca="false">IF(A23="","","Highest tier — no upgrade")</f>
        <v/>
      </c>
    </row>
    <row r="24" customFormat="false" ht="15" hidden="false" customHeight="false" outlineLevel="0" collapsed="false">
      <c r="A24" s="6"/>
      <c r="B24" s="6"/>
      <c r="C24" s="6"/>
      <c r="D24" s="11"/>
      <c r="E24" s="6"/>
      <c r="F24" s="12" t="n">
        <f aca="false">IF(E24="",0,IFERROR(INDEX('Gold Registry'!$H$4:$H$103,MATCH(E24,'Gold Registry'!$A$4:$A$103,0)),0))</f>
        <v>0</v>
      </c>
      <c r="G24" s="12" t="str">
        <f aca="false">IF(A24="","",SUMIFS('Black Log'!$F$4:$F$1000,'Black Log'!$B$4:$B$1000,A24))</f>
        <v/>
      </c>
      <c r="H24" s="12" t="str">
        <f aca="false">IF(A24="","",F24+G24)</f>
        <v/>
      </c>
      <c r="I24" s="6"/>
      <c r="J24" s="16"/>
      <c r="K24" s="12" t="str">
        <f aca="false">IF(A24="","","Highest tier — no upgrade")</f>
        <v/>
      </c>
    </row>
    <row r="25" customFormat="false" ht="15" hidden="false" customHeight="false" outlineLevel="0" collapsed="false">
      <c r="A25" s="6"/>
      <c r="B25" s="6"/>
      <c r="C25" s="6"/>
      <c r="D25" s="11"/>
      <c r="E25" s="6"/>
      <c r="F25" s="12" t="n">
        <f aca="false">IF(E25="",0,IFERROR(INDEX('Gold Registry'!$H$4:$H$103,MATCH(E25,'Gold Registry'!$A$4:$A$103,0)),0))</f>
        <v>0</v>
      </c>
      <c r="G25" s="12" t="str">
        <f aca="false">IF(A25="","",SUMIFS('Black Log'!$F$4:$F$1000,'Black Log'!$B$4:$B$1000,A25))</f>
        <v/>
      </c>
      <c r="H25" s="12" t="str">
        <f aca="false">IF(A25="","",F25+G25)</f>
        <v/>
      </c>
      <c r="I25" s="6"/>
      <c r="J25" s="16"/>
      <c r="K25" s="12" t="str">
        <f aca="false">IF(A25="","","Highest tier — no upgrade")</f>
        <v/>
      </c>
    </row>
    <row r="26" customFormat="false" ht="15" hidden="false" customHeight="false" outlineLevel="0" collapsed="false">
      <c r="A26" s="6"/>
      <c r="B26" s="6"/>
      <c r="C26" s="6"/>
      <c r="D26" s="11"/>
      <c r="E26" s="6"/>
      <c r="F26" s="12" t="n">
        <f aca="false">IF(E26="",0,IFERROR(INDEX('Gold Registry'!$H$4:$H$103,MATCH(E26,'Gold Registry'!$A$4:$A$103,0)),0))</f>
        <v>0</v>
      </c>
      <c r="G26" s="12" t="str">
        <f aca="false">IF(A26="","",SUMIFS('Black Log'!$F$4:$F$1000,'Black Log'!$B$4:$B$1000,A26))</f>
        <v/>
      </c>
      <c r="H26" s="12" t="str">
        <f aca="false">IF(A26="","",F26+G26)</f>
        <v/>
      </c>
      <c r="I26" s="6"/>
      <c r="J26" s="16"/>
      <c r="K26" s="12" t="str">
        <f aca="false">IF(A26="","","Highest tier — no upgrade")</f>
        <v/>
      </c>
    </row>
    <row r="27" customFormat="false" ht="15" hidden="false" customHeight="false" outlineLevel="0" collapsed="false">
      <c r="A27" s="6"/>
      <c r="B27" s="6"/>
      <c r="C27" s="6"/>
      <c r="D27" s="11"/>
      <c r="E27" s="6"/>
      <c r="F27" s="12" t="n">
        <f aca="false">IF(E27="",0,IFERROR(INDEX('Gold Registry'!$H$4:$H$103,MATCH(E27,'Gold Registry'!$A$4:$A$103,0)),0))</f>
        <v>0</v>
      </c>
      <c r="G27" s="12" t="str">
        <f aca="false">IF(A27="","",SUMIFS('Black Log'!$F$4:$F$1000,'Black Log'!$B$4:$B$1000,A27))</f>
        <v/>
      </c>
      <c r="H27" s="12" t="str">
        <f aca="false">IF(A27="","",F27+G27)</f>
        <v/>
      </c>
      <c r="I27" s="6"/>
      <c r="J27" s="16"/>
      <c r="K27" s="12" t="str">
        <f aca="false">IF(A27="","","Highest tier — no upgrade")</f>
        <v/>
      </c>
    </row>
    <row r="28" customFormat="false" ht="15" hidden="false" customHeight="false" outlineLevel="0" collapsed="false">
      <c r="A28" s="6"/>
      <c r="B28" s="6"/>
      <c r="C28" s="6"/>
      <c r="D28" s="11"/>
      <c r="E28" s="6"/>
      <c r="F28" s="12" t="n">
        <f aca="false">IF(E28="",0,IFERROR(INDEX('Gold Registry'!$H$4:$H$103,MATCH(E28,'Gold Registry'!$A$4:$A$103,0)),0))</f>
        <v>0</v>
      </c>
      <c r="G28" s="12" t="str">
        <f aca="false">IF(A28="","",SUMIFS('Black Log'!$F$4:$F$1000,'Black Log'!$B$4:$B$1000,A28))</f>
        <v/>
      </c>
      <c r="H28" s="12" t="str">
        <f aca="false">IF(A28="","",F28+G28)</f>
        <v/>
      </c>
      <c r="I28" s="6"/>
      <c r="J28" s="16"/>
      <c r="K28" s="12" t="str">
        <f aca="false">IF(A28="","","Highest tier — no upgrade")</f>
        <v/>
      </c>
    </row>
    <row r="29" customFormat="false" ht="15" hidden="false" customHeight="false" outlineLevel="0" collapsed="false">
      <c r="A29" s="6"/>
      <c r="B29" s="6"/>
      <c r="C29" s="6"/>
      <c r="D29" s="11"/>
      <c r="E29" s="6"/>
      <c r="F29" s="12" t="n">
        <f aca="false">IF(E29="",0,IFERROR(INDEX('Gold Registry'!$H$4:$H$103,MATCH(E29,'Gold Registry'!$A$4:$A$103,0)),0))</f>
        <v>0</v>
      </c>
      <c r="G29" s="12" t="str">
        <f aca="false">IF(A29="","",SUMIFS('Black Log'!$F$4:$F$1000,'Black Log'!$B$4:$B$1000,A29))</f>
        <v/>
      </c>
      <c r="H29" s="12" t="str">
        <f aca="false">IF(A29="","",F29+G29)</f>
        <v/>
      </c>
      <c r="I29" s="6"/>
      <c r="J29" s="16"/>
      <c r="K29" s="12" t="str">
        <f aca="false">IF(A29="","","Highest tier — no upgrade")</f>
        <v/>
      </c>
    </row>
    <row r="30" customFormat="false" ht="15" hidden="false" customHeight="false" outlineLevel="0" collapsed="false">
      <c r="A30" s="6"/>
      <c r="B30" s="6"/>
      <c r="C30" s="6"/>
      <c r="D30" s="11"/>
      <c r="E30" s="6"/>
      <c r="F30" s="12" t="n">
        <f aca="false">IF(E30="",0,IFERROR(INDEX('Gold Registry'!$H$4:$H$103,MATCH(E30,'Gold Registry'!$A$4:$A$103,0)),0))</f>
        <v>0</v>
      </c>
      <c r="G30" s="12" t="str">
        <f aca="false">IF(A30="","",SUMIFS('Black Log'!$F$4:$F$1000,'Black Log'!$B$4:$B$1000,A30))</f>
        <v/>
      </c>
      <c r="H30" s="12" t="str">
        <f aca="false">IF(A30="","",F30+G30)</f>
        <v/>
      </c>
      <c r="I30" s="6"/>
      <c r="J30" s="16"/>
      <c r="K30" s="12" t="str">
        <f aca="false">IF(A30="","","Highest tier — no upgrade")</f>
        <v/>
      </c>
    </row>
    <row r="31" customFormat="false" ht="15" hidden="false" customHeight="false" outlineLevel="0" collapsed="false">
      <c r="A31" s="6"/>
      <c r="B31" s="6"/>
      <c r="C31" s="6"/>
      <c r="D31" s="11"/>
      <c r="E31" s="6"/>
      <c r="F31" s="12" t="n">
        <f aca="false">IF(E31="",0,IFERROR(INDEX('Gold Registry'!$H$4:$H$103,MATCH(E31,'Gold Registry'!$A$4:$A$103,0)),0))</f>
        <v>0</v>
      </c>
      <c r="G31" s="12" t="str">
        <f aca="false">IF(A31="","",SUMIFS('Black Log'!$F$4:$F$1000,'Black Log'!$B$4:$B$1000,A31))</f>
        <v/>
      </c>
      <c r="H31" s="12" t="str">
        <f aca="false">IF(A31="","",F31+G31)</f>
        <v/>
      </c>
      <c r="I31" s="6"/>
      <c r="J31" s="16"/>
      <c r="K31" s="12" t="str">
        <f aca="false">IF(A31="","","Highest tier — no upgrade")</f>
        <v/>
      </c>
    </row>
    <row r="32" customFormat="false" ht="15" hidden="false" customHeight="false" outlineLevel="0" collapsed="false">
      <c r="A32" s="6"/>
      <c r="B32" s="6"/>
      <c r="C32" s="6"/>
      <c r="D32" s="11"/>
      <c r="E32" s="6"/>
      <c r="F32" s="12" t="n">
        <f aca="false">IF(E32="",0,IFERROR(INDEX('Gold Registry'!$H$4:$H$103,MATCH(E32,'Gold Registry'!$A$4:$A$103,0)),0))</f>
        <v>0</v>
      </c>
      <c r="G32" s="12" t="str">
        <f aca="false">IF(A32="","",SUMIFS('Black Log'!$F$4:$F$1000,'Black Log'!$B$4:$B$1000,A32))</f>
        <v/>
      </c>
      <c r="H32" s="12" t="str">
        <f aca="false">IF(A32="","",F32+G32)</f>
        <v/>
      </c>
      <c r="I32" s="6"/>
      <c r="J32" s="16"/>
      <c r="K32" s="12" t="str">
        <f aca="false">IF(A32="","","Highest tier — no upgrade")</f>
        <v/>
      </c>
    </row>
    <row r="33" customFormat="false" ht="15" hidden="false" customHeight="false" outlineLevel="0" collapsed="false">
      <c r="A33" s="6"/>
      <c r="B33" s="6"/>
      <c r="C33" s="6"/>
      <c r="D33" s="11"/>
      <c r="E33" s="6"/>
      <c r="F33" s="12" t="n">
        <f aca="false">IF(E33="",0,IFERROR(INDEX('Gold Registry'!$H$4:$H$103,MATCH(E33,'Gold Registry'!$A$4:$A$103,0)),0))</f>
        <v>0</v>
      </c>
      <c r="G33" s="12" t="str">
        <f aca="false">IF(A33="","",SUMIFS('Black Log'!$F$4:$F$1000,'Black Log'!$B$4:$B$1000,A33))</f>
        <v/>
      </c>
      <c r="H33" s="12" t="str">
        <f aca="false">IF(A33="","",F33+G33)</f>
        <v/>
      </c>
      <c r="I33" s="6"/>
      <c r="J33" s="16"/>
      <c r="K33" s="12" t="str">
        <f aca="false">IF(A33="","","Highest tier — no upgrade")</f>
        <v/>
      </c>
    </row>
    <row r="34" customFormat="false" ht="15" hidden="false" customHeight="false" outlineLevel="0" collapsed="false">
      <c r="A34" s="6"/>
      <c r="B34" s="6"/>
      <c r="C34" s="6"/>
      <c r="D34" s="11"/>
      <c r="E34" s="6"/>
      <c r="F34" s="12" t="n">
        <f aca="false">IF(E34="",0,IFERROR(INDEX('Gold Registry'!$H$4:$H$103,MATCH(E34,'Gold Registry'!$A$4:$A$103,0)),0))</f>
        <v>0</v>
      </c>
      <c r="G34" s="12" t="str">
        <f aca="false">IF(A34="","",SUMIFS('Black Log'!$F$4:$F$1000,'Black Log'!$B$4:$B$1000,A34))</f>
        <v/>
      </c>
      <c r="H34" s="12" t="str">
        <f aca="false">IF(A34="","",F34+G34)</f>
        <v/>
      </c>
      <c r="I34" s="6"/>
      <c r="J34" s="16"/>
      <c r="K34" s="12" t="str">
        <f aca="false">IF(A34="","","Highest tier — no upgrade")</f>
        <v/>
      </c>
    </row>
    <row r="35" customFormat="false" ht="15" hidden="false" customHeight="false" outlineLevel="0" collapsed="false">
      <c r="A35" s="6"/>
      <c r="B35" s="6"/>
      <c r="C35" s="6"/>
      <c r="D35" s="11"/>
      <c r="E35" s="6"/>
      <c r="F35" s="12" t="n">
        <f aca="false">IF(E35="",0,IFERROR(INDEX('Gold Registry'!$H$4:$H$103,MATCH(E35,'Gold Registry'!$A$4:$A$103,0)),0))</f>
        <v>0</v>
      </c>
      <c r="G35" s="12" t="str">
        <f aca="false">IF(A35="","",SUMIFS('Black Log'!$F$4:$F$1000,'Black Log'!$B$4:$B$1000,A35))</f>
        <v/>
      </c>
      <c r="H35" s="12" t="str">
        <f aca="false">IF(A35="","",F35+G35)</f>
        <v/>
      </c>
      <c r="I35" s="6"/>
      <c r="J35" s="16"/>
      <c r="K35" s="12" t="str">
        <f aca="false">IF(A35="","","Highest tier — no upgrade")</f>
        <v/>
      </c>
    </row>
    <row r="36" customFormat="false" ht="15" hidden="false" customHeight="false" outlineLevel="0" collapsed="false">
      <c r="A36" s="6"/>
      <c r="B36" s="6"/>
      <c r="C36" s="6"/>
      <c r="D36" s="11"/>
      <c r="E36" s="6"/>
      <c r="F36" s="12" t="n">
        <f aca="false">IF(E36="",0,IFERROR(INDEX('Gold Registry'!$H$4:$H$103,MATCH(E36,'Gold Registry'!$A$4:$A$103,0)),0))</f>
        <v>0</v>
      </c>
      <c r="G36" s="12" t="str">
        <f aca="false">IF(A36="","",SUMIFS('Black Log'!$F$4:$F$1000,'Black Log'!$B$4:$B$1000,A36))</f>
        <v/>
      </c>
      <c r="H36" s="12" t="str">
        <f aca="false">IF(A36="","",F36+G36)</f>
        <v/>
      </c>
      <c r="I36" s="6"/>
      <c r="J36" s="16"/>
      <c r="K36" s="12" t="str">
        <f aca="false">IF(A36="","","Highest tier — no upgrade")</f>
        <v/>
      </c>
    </row>
    <row r="37" customFormat="false" ht="15" hidden="false" customHeight="false" outlineLevel="0" collapsed="false">
      <c r="A37" s="6"/>
      <c r="B37" s="6"/>
      <c r="C37" s="6"/>
      <c r="D37" s="11"/>
      <c r="E37" s="6"/>
      <c r="F37" s="12" t="n">
        <f aca="false">IF(E37="",0,IFERROR(INDEX('Gold Registry'!$H$4:$H$103,MATCH(E37,'Gold Registry'!$A$4:$A$103,0)),0))</f>
        <v>0</v>
      </c>
      <c r="G37" s="12" t="str">
        <f aca="false">IF(A37="","",SUMIFS('Black Log'!$F$4:$F$1000,'Black Log'!$B$4:$B$1000,A37))</f>
        <v/>
      </c>
      <c r="H37" s="12" t="str">
        <f aca="false">IF(A37="","",F37+G37)</f>
        <v/>
      </c>
      <c r="I37" s="6"/>
      <c r="J37" s="16"/>
      <c r="K37" s="12" t="str">
        <f aca="false">IF(A37="","","Highest tier — no upgrade")</f>
        <v/>
      </c>
    </row>
    <row r="38" customFormat="false" ht="15" hidden="false" customHeight="false" outlineLevel="0" collapsed="false">
      <c r="A38" s="6"/>
      <c r="B38" s="6"/>
      <c r="C38" s="6"/>
      <c r="D38" s="11"/>
      <c r="E38" s="6"/>
      <c r="F38" s="12" t="n">
        <f aca="false">IF(E38="",0,IFERROR(INDEX('Gold Registry'!$H$4:$H$103,MATCH(E38,'Gold Registry'!$A$4:$A$103,0)),0))</f>
        <v>0</v>
      </c>
      <c r="G38" s="12" t="str">
        <f aca="false">IF(A38="","",SUMIFS('Black Log'!$F$4:$F$1000,'Black Log'!$B$4:$B$1000,A38))</f>
        <v/>
      </c>
      <c r="H38" s="12" t="str">
        <f aca="false">IF(A38="","",F38+G38)</f>
        <v/>
      </c>
      <c r="I38" s="6"/>
      <c r="J38" s="16"/>
      <c r="K38" s="12" t="str">
        <f aca="false">IF(A38="","","Highest tier — no upgrade")</f>
        <v/>
      </c>
    </row>
    <row r="39" customFormat="false" ht="15" hidden="false" customHeight="false" outlineLevel="0" collapsed="false">
      <c r="A39" s="6"/>
      <c r="B39" s="6"/>
      <c r="C39" s="6"/>
      <c r="D39" s="11"/>
      <c r="E39" s="6"/>
      <c r="F39" s="12" t="n">
        <f aca="false">IF(E39="",0,IFERROR(INDEX('Gold Registry'!$H$4:$H$103,MATCH(E39,'Gold Registry'!$A$4:$A$103,0)),0))</f>
        <v>0</v>
      </c>
      <c r="G39" s="12" t="str">
        <f aca="false">IF(A39="","",SUMIFS('Black Log'!$F$4:$F$1000,'Black Log'!$B$4:$B$1000,A39))</f>
        <v/>
      </c>
      <c r="H39" s="12" t="str">
        <f aca="false">IF(A39="","",F39+G39)</f>
        <v/>
      </c>
      <c r="I39" s="6"/>
      <c r="J39" s="16"/>
      <c r="K39" s="12" t="str">
        <f aca="false">IF(A39="","","Highest tier — no upgrade")</f>
        <v/>
      </c>
    </row>
    <row r="40" customFormat="false" ht="15" hidden="false" customHeight="false" outlineLevel="0" collapsed="false">
      <c r="A40" s="6"/>
      <c r="B40" s="6"/>
      <c r="C40" s="6"/>
      <c r="D40" s="11"/>
      <c r="E40" s="6"/>
      <c r="F40" s="12" t="n">
        <f aca="false">IF(E40="",0,IFERROR(INDEX('Gold Registry'!$H$4:$H$103,MATCH(E40,'Gold Registry'!$A$4:$A$103,0)),0))</f>
        <v>0</v>
      </c>
      <c r="G40" s="12" t="str">
        <f aca="false">IF(A40="","",SUMIFS('Black Log'!$F$4:$F$1000,'Black Log'!$B$4:$B$1000,A40))</f>
        <v/>
      </c>
      <c r="H40" s="12" t="str">
        <f aca="false">IF(A40="","",F40+G40)</f>
        <v/>
      </c>
      <c r="I40" s="6"/>
      <c r="J40" s="16"/>
      <c r="K40" s="12" t="str">
        <f aca="false">IF(A40="","","Highest tier — no upgrade")</f>
        <v/>
      </c>
    </row>
    <row r="41" customFormat="false" ht="15" hidden="false" customHeight="false" outlineLevel="0" collapsed="false">
      <c r="A41" s="6"/>
      <c r="B41" s="6"/>
      <c r="C41" s="6"/>
      <c r="D41" s="11"/>
      <c r="E41" s="6"/>
      <c r="F41" s="12" t="n">
        <f aca="false">IF(E41="",0,IFERROR(INDEX('Gold Registry'!$H$4:$H$103,MATCH(E41,'Gold Registry'!$A$4:$A$103,0)),0))</f>
        <v>0</v>
      </c>
      <c r="G41" s="12" t="str">
        <f aca="false">IF(A41="","",SUMIFS('Black Log'!$F$4:$F$1000,'Black Log'!$B$4:$B$1000,A41))</f>
        <v/>
      </c>
      <c r="H41" s="12" t="str">
        <f aca="false">IF(A41="","",F41+G41)</f>
        <v/>
      </c>
      <c r="I41" s="6"/>
      <c r="J41" s="16"/>
      <c r="K41" s="12" t="str">
        <f aca="false">IF(A41="","","Highest tier — no upgrade")</f>
        <v/>
      </c>
    </row>
    <row r="42" customFormat="false" ht="15" hidden="false" customHeight="false" outlineLevel="0" collapsed="false">
      <c r="A42" s="6"/>
      <c r="B42" s="6"/>
      <c r="C42" s="6"/>
      <c r="D42" s="11"/>
      <c r="E42" s="6"/>
      <c r="F42" s="12" t="n">
        <f aca="false">IF(E42="",0,IFERROR(INDEX('Gold Registry'!$H$4:$H$103,MATCH(E42,'Gold Registry'!$A$4:$A$103,0)),0))</f>
        <v>0</v>
      </c>
      <c r="G42" s="12" t="str">
        <f aca="false">IF(A42="","",SUMIFS('Black Log'!$F$4:$F$1000,'Black Log'!$B$4:$B$1000,A42))</f>
        <v/>
      </c>
      <c r="H42" s="12" t="str">
        <f aca="false">IF(A42="","",F42+G42)</f>
        <v/>
      </c>
      <c r="I42" s="6"/>
      <c r="J42" s="16"/>
      <c r="K42" s="12" t="str">
        <f aca="false">IF(A42="","","Highest tier — no upgrade")</f>
        <v/>
      </c>
    </row>
    <row r="43" customFormat="false" ht="15" hidden="false" customHeight="false" outlineLevel="0" collapsed="false">
      <c r="A43" s="6"/>
      <c r="B43" s="6"/>
      <c r="C43" s="6"/>
      <c r="D43" s="11"/>
      <c r="E43" s="6"/>
      <c r="F43" s="12" t="n">
        <f aca="false">IF(E43="",0,IFERROR(INDEX('Gold Registry'!$H$4:$H$103,MATCH(E43,'Gold Registry'!$A$4:$A$103,0)),0))</f>
        <v>0</v>
      </c>
      <c r="G43" s="12" t="str">
        <f aca="false">IF(A43="","",SUMIFS('Black Log'!$F$4:$F$1000,'Black Log'!$B$4:$B$1000,A43))</f>
        <v/>
      </c>
      <c r="H43" s="12" t="str">
        <f aca="false">IF(A43="","",F43+G43)</f>
        <v/>
      </c>
      <c r="I43" s="6"/>
      <c r="J43" s="16"/>
      <c r="K43" s="12" t="str">
        <f aca="false">IF(A43="","","Highest tier — no upgrade")</f>
        <v/>
      </c>
    </row>
    <row r="44" customFormat="false" ht="15" hidden="false" customHeight="false" outlineLevel="0" collapsed="false">
      <c r="A44" s="6"/>
      <c r="B44" s="6"/>
      <c r="C44" s="6"/>
      <c r="D44" s="11"/>
      <c r="E44" s="6"/>
      <c r="F44" s="12" t="n">
        <f aca="false">IF(E44="",0,IFERROR(INDEX('Gold Registry'!$H$4:$H$103,MATCH(E44,'Gold Registry'!$A$4:$A$103,0)),0))</f>
        <v>0</v>
      </c>
      <c r="G44" s="12" t="str">
        <f aca="false">IF(A44="","",SUMIFS('Black Log'!$F$4:$F$1000,'Black Log'!$B$4:$B$1000,A44))</f>
        <v/>
      </c>
      <c r="H44" s="12" t="str">
        <f aca="false">IF(A44="","",F44+G44)</f>
        <v/>
      </c>
      <c r="I44" s="6"/>
      <c r="J44" s="16"/>
      <c r="K44" s="12" t="str">
        <f aca="false">IF(A44="","","Highest tier — no upgrade")</f>
        <v/>
      </c>
    </row>
    <row r="45" customFormat="false" ht="15" hidden="false" customHeight="false" outlineLevel="0" collapsed="false">
      <c r="A45" s="6"/>
      <c r="B45" s="6"/>
      <c r="C45" s="6"/>
      <c r="D45" s="11"/>
      <c r="E45" s="6"/>
      <c r="F45" s="12" t="n">
        <f aca="false">IF(E45="",0,IFERROR(INDEX('Gold Registry'!$H$4:$H$103,MATCH(E45,'Gold Registry'!$A$4:$A$103,0)),0))</f>
        <v>0</v>
      </c>
      <c r="G45" s="12" t="str">
        <f aca="false">IF(A45="","",SUMIFS('Black Log'!$F$4:$F$1000,'Black Log'!$B$4:$B$1000,A45))</f>
        <v/>
      </c>
      <c r="H45" s="12" t="str">
        <f aca="false">IF(A45="","",F45+G45)</f>
        <v/>
      </c>
      <c r="I45" s="6"/>
      <c r="J45" s="16"/>
      <c r="K45" s="12" t="str">
        <f aca="false">IF(A45="","","Highest tier — no upgrade")</f>
        <v/>
      </c>
    </row>
    <row r="46" customFormat="false" ht="15" hidden="false" customHeight="false" outlineLevel="0" collapsed="false">
      <c r="A46" s="6"/>
      <c r="B46" s="6"/>
      <c r="C46" s="6"/>
      <c r="D46" s="11"/>
      <c r="E46" s="6"/>
      <c r="F46" s="12" t="n">
        <f aca="false">IF(E46="",0,IFERROR(INDEX('Gold Registry'!$H$4:$H$103,MATCH(E46,'Gold Registry'!$A$4:$A$103,0)),0))</f>
        <v>0</v>
      </c>
      <c r="G46" s="12" t="str">
        <f aca="false">IF(A46="","",SUMIFS('Black Log'!$F$4:$F$1000,'Black Log'!$B$4:$B$1000,A46))</f>
        <v/>
      </c>
      <c r="H46" s="12" t="str">
        <f aca="false">IF(A46="","",F46+G46)</f>
        <v/>
      </c>
      <c r="I46" s="6"/>
      <c r="J46" s="16"/>
      <c r="K46" s="12" t="str">
        <f aca="false">IF(A46="","","Highest tier — no upgrade")</f>
        <v/>
      </c>
    </row>
    <row r="47" customFormat="false" ht="15" hidden="false" customHeight="false" outlineLevel="0" collapsed="false">
      <c r="A47" s="6"/>
      <c r="B47" s="6"/>
      <c r="C47" s="6"/>
      <c r="D47" s="11"/>
      <c r="E47" s="6"/>
      <c r="F47" s="12" t="n">
        <f aca="false">IF(E47="",0,IFERROR(INDEX('Gold Registry'!$H$4:$H$103,MATCH(E47,'Gold Registry'!$A$4:$A$103,0)),0))</f>
        <v>0</v>
      </c>
      <c r="G47" s="12" t="str">
        <f aca="false">IF(A47="","",SUMIFS('Black Log'!$F$4:$F$1000,'Black Log'!$B$4:$B$1000,A47))</f>
        <v/>
      </c>
      <c r="H47" s="12" t="str">
        <f aca="false">IF(A47="","",F47+G47)</f>
        <v/>
      </c>
      <c r="I47" s="6"/>
      <c r="J47" s="16"/>
      <c r="K47" s="12" t="str">
        <f aca="false">IF(A47="","","Highest tier — no upgrade")</f>
        <v/>
      </c>
    </row>
    <row r="48" customFormat="false" ht="15" hidden="false" customHeight="false" outlineLevel="0" collapsed="false">
      <c r="A48" s="6"/>
      <c r="B48" s="6"/>
      <c r="C48" s="6"/>
      <c r="D48" s="11"/>
      <c r="E48" s="6"/>
      <c r="F48" s="12" t="n">
        <f aca="false">IF(E48="",0,IFERROR(INDEX('Gold Registry'!$H$4:$H$103,MATCH(E48,'Gold Registry'!$A$4:$A$103,0)),0))</f>
        <v>0</v>
      </c>
      <c r="G48" s="12" t="str">
        <f aca="false">IF(A48="","",SUMIFS('Black Log'!$F$4:$F$1000,'Black Log'!$B$4:$B$1000,A48))</f>
        <v/>
      </c>
      <c r="H48" s="12" t="str">
        <f aca="false">IF(A48="","",F48+G48)</f>
        <v/>
      </c>
      <c r="I48" s="6"/>
      <c r="J48" s="16"/>
      <c r="K48" s="12" t="str">
        <f aca="false">IF(A48="","","Highest tier — no upgrade")</f>
        <v/>
      </c>
    </row>
    <row r="49" customFormat="false" ht="15" hidden="false" customHeight="false" outlineLevel="0" collapsed="false">
      <c r="A49" s="6"/>
      <c r="B49" s="6"/>
      <c r="C49" s="6"/>
      <c r="D49" s="11"/>
      <c r="E49" s="6"/>
      <c r="F49" s="12" t="n">
        <f aca="false">IF(E49="",0,IFERROR(INDEX('Gold Registry'!$H$4:$H$103,MATCH(E49,'Gold Registry'!$A$4:$A$103,0)),0))</f>
        <v>0</v>
      </c>
      <c r="G49" s="12" t="str">
        <f aca="false">IF(A49="","",SUMIFS('Black Log'!$F$4:$F$1000,'Black Log'!$B$4:$B$1000,A49))</f>
        <v/>
      </c>
      <c r="H49" s="12" t="str">
        <f aca="false">IF(A49="","",F49+G49)</f>
        <v/>
      </c>
      <c r="I49" s="6"/>
      <c r="J49" s="16"/>
      <c r="K49" s="12" t="str">
        <f aca="false">IF(A49="","","Highest tier — no upgrade")</f>
        <v/>
      </c>
    </row>
    <row r="50" customFormat="false" ht="15" hidden="false" customHeight="false" outlineLevel="0" collapsed="false">
      <c r="A50" s="6"/>
      <c r="B50" s="6"/>
      <c r="C50" s="6"/>
      <c r="D50" s="11"/>
      <c r="E50" s="6"/>
      <c r="F50" s="12" t="n">
        <f aca="false">IF(E50="",0,IFERROR(INDEX('Gold Registry'!$H$4:$H$103,MATCH(E50,'Gold Registry'!$A$4:$A$103,0)),0))</f>
        <v>0</v>
      </c>
      <c r="G50" s="12" t="str">
        <f aca="false">IF(A50="","",SUMIFS('Black Log'!$F$4:$F$1000,'Black Log'!$B$4:$B$1000,A50))</f>
        <v/>
      </c>
      <c r="H50" s="12" t="str">
        <f aca="false">IF(A50="","",F50+G50)</f>
        <v/>
      </c>
      <c r="I50" s="6"/>
      <c r="J50" s="16"/>
      <c r="K50" s="12" t="str">
        <f aca="false">IF(A50="","","Highest tier — no upgrade")</f>
        <v/>
      </c>
    </row>
    <row r="51" customFormat="false" ht="15" hidden="false" customHeight="false" outlineLevel="0" collapsed="false">
      <c r="A51" s="6"/>
      <c r="B51" s="6"/>
      <c r="C51" s="6"/>
      <c r="D51" s="11"/>
      <c r="E51" s="6"/>
      <c r="F51" s="12" t="n">
        <f aca="false">IF(E51="",0,IFERROR(INDEX('Gold Registry'!$H$4:$H$103,MATCH(E51,'Gold Registry'!$A$4:$A$103,0)),0))</f>
        <v>0</v>
      </c>
      <c r="G51" s="12" t="str">
        <f aca="false">IF(A51="","",SUMIFS('Black Log'!$F$4:$F$1000,'Black Log'!$B$4:$B$1000,A51))</f>
        <v/>
      </c>
      <c r="H51" s="12" t="str">
        <f aca="false">IF(A51="","",F51+G51)</f>
        <v/>
      </c>
      <c r="I51" s="6"/>
      <c r="J51" s="16"/>
      <c r="K51" s="12" t="str">
        <f aca="false">IF(A51="","","Highest tier — no upgrade")</f>
        <v/>
      </c>
    </row>
    <row r="52" customFormat="false" ht="15" hidden="false" customHeight="false" outlineLevel="0" collapsed="false">
      <c r="A52" s="6"/>
      <c r="B52" s="6"/>
      <c r="C52" s="6"/>
      <c r="D52" s="11"/>
      <c r="E52" s="6"/>
      <c r="F52" s="12" t="n">
        <f aca="false">IF(E52="",0,IFERROR(INDEX('Gold Registry'!$H$4:$H$103,MATCH(E52,'Gold Registry'!$A$4:$A$103,0)),0))</f>
        <v>0</v>
      </c>
      <c r="G52" s="12" t="str">
        <f aca="false">IF(A52="","",SUMIFS('Black Log'!$F$4:$F$1000,'Black Log'!$B$4:$B$1000,A52))</f>
        <v/>
      </c>
      <c r="H52" s="12" t="str">
        <f aca="false">IF(A52="","",F52+G52)</f>
        <v/>
      </c>
      <c r="I52" s="6"/>
      <c r="J52" s="16"/>
      <c r="K52" s="12" t="str">
        <f aca="false">IF(A52="","","Highest tier — no upgrade")</f>
        <v/>
      </c>
    </row>
    <row r="53" customFormat="false" ht="15" hidden="false" customHeight="false" outlineLevel="0" collapsed="false">
      <c r="A53" s="6"/>
      <c r="B53" s="6"/>
      <c r="C53" s="6"/>
      <c r="D53" s="11"/>
      <c r="E53" s="6"/>
      <c r="F53" s="12" t="n">
        <f aca="false">IF(E53="",0,IFERROR(INDEX('Gold Registry'!$H$4:$H$103,MATCH(E53,'Gold Registry'!$A$4:$A$103,0)),0))</f>
        <v>0</v>
      </c>
      <c r="G53" s="12" t="str">
        <f aca="false">IF(A53="","",SUMIFS('Black Log'!$F$4:$F$1000,'Black Log'!$B$4:$B$1000,A53))</f>
        <v/>
      </c>
      <c r="H53" s="12" t="str">
        <f aca="false">IF(A53="","",F53+G53)</f>
        <v/>
      </c>
      <c r="I53" s="6"/>
      <c r="J53" s="16"/>
      <c r="K53" s="12" t="str">
        <f aca="false">IF(A53="","","Highest tier — no upgrade")</f>
        <v/>
      </c>
    </row>
    <row r="54" customFormat="false" ht="15" hidden="false" customHeight="false" outlineLevel="0" collapsed="false">
      <c r="A54" s="6"/>
      <c r="B54" s="6"/>
      <c r="C54" s="6"/>
      <c r="D54" s="11"/>
      <c r="E54" s="6"/>
      <c r="F54" s="12" t="n">
        <f aca="false">IF(E54="",0,IFERROR(INDEX('Gold Registry'!$H$4:$H$103,MATCH(E54,'Gold Registry'!$A$4:$A$103,0)),0))</f>
        <v>0</v>
      </c>
      <c r="G54" s="12" t="str">
        <f aca="false">IF(A54="","",SUMIFS('Black Log'!$F$4:$F$1000,'Black Log'!$B$4:$B$1000,A54))</f>
        <v/>
      </c>
      <c r="H54" s="12" t="str">
        <f aca="false">IF(A54="","",F54+G54)</f>
        <v/>
      </c>
      <c r="I54" s="6"/>
      <c r="J54" s="16"/>
      <c r="K54" s="12" t="str">
        <f aca="false">IF(A54="","","Highest tier — no upgrade")</f>
        <v/>
      </c>
    </row>
    <row r="55" customFormat="false" ht="15" hidden="false" customHeight="false" outlineLevel="0" collapsed="false">
      <c r="A55" s="6"/>
      <c r="B55" s="6"/>
      <c r="C55" s="6"/>
      <c r="D55" s="11"/>
      <c r="E55" s="6"/>
      <c r="F55" s="12" t="n">
        <f aca="false">IF(E55="",0,IFERROR(INDEX('Gold Registry'!$H$4:$H$103,MATCH(E55,'Gold Registry'!$A$4:$A$103,0)),0))</f>
        <v>0</v>
      </c>
      <c r="G55" s="12" t="str">
        <f aca="false">IF(A55="","",SUMIFS('Black Log'!$F$4:$F$1000,'Black Log'!$B$4:$B$1000,A55))</f>
        <v/>
      </c>
      <c r="H55" s="12" t="str">
        <f aca="false">IF(A55="","",F55+G55)</f>
        <v/>
      </c>
      <c r="I55" s="6"/>
      <c r="J55" s="16"/>
      <c r="K55" s="12" t="str">
        <f aca="false">IF(A55="","","Highest tier — no upgrade")</f>
        <v/>
      </c>
    </row>
    <row r="56" customFormat="false" ht="15" hidden="false" customHeight="false" outlineLevel="0" collapsed="false">
      <c r="A56" s="6"/>
      <c r="B56" s="6"/>
      <c r="C56" s="6"/>
      <c r="D56" s="11"/>
      <c r="E56" s="6"/>
      <c r="F56" s="12" t="n">
        <f aca="false">IF(E56="",0,IFERROR(INDEX('Gold Registry'!$H$4:$H$103,MATCH(E56,'Gold Registry'!$A$4:$A$103,0)),0))</f>
        <v>0</v>
      </c>
      <c r="G56" s="12" t="str">
        <f aca="false">IF(A56="","",SUMIFS('Black Log'!$F$4:$F$1000,'Black Log'!$B$4:$B$1000,A56))</f>
        <v/>
      </c>
      <c r="H56" s="12" t="str">
        <f aca="false">IF(A56="","",F56+G56)</f>
        <v/>
      </c>
      <c r="I56" s="6"/>
      <c r="J56" s="16"/>
      <c r="K56" s="12" t="str">
        <f aca="false">IF(A56="","","Highest tier — no upgrade")</f>
        <v/>
      </c>
    </row>
    <row r="57" customFormat="false" ht="15" hidden="false" customHeight="false" outlineLevel="0" collapsed="false">
      <c r="A57" s="6"/>
      <c r="B57" s="6"/>
      <c r="C57" s="6"/>
      <c r="D57" s="11"/>
      <c r="E57" s="6"/>
      <c r="F57" s="12" t="n">
        <f aca="false">IF(E57="",0,IFERROR(INDEX('Gold Registry'!$H$4:$H$103,MATCH(E57,'Gold Registry'!$A$4:$A$103,0)),0))</f>
        <v>0</v>
      </c>
      <c r="G57" s="12" t="str">
        <f aca="false">IF(A57="","",SUMIFS('Black Log'!$F$4:$F$1000,'Black Log'!$B$4:$B$1000,A57))</f>
        <v/>
      </c>
      <c r="H57" s="12" t="str">
        <f aca="false">IF(A57="","",F57+G57)</f>
        <v/>
      </c>
      <c r="I57" s="6"/>
      <c r="J57" s="16"/>
      <c r="K57" s="12" t="str">
        <f aca="false">IF(A57="","","Highest tier — no upgrade")</f>
        <v/>
      </c>
    </row>
    <row r="58" customFormat="false" ht="15" hidden="false" customHeight="false" outlineLevel="0" collapsed="false">
      <c r="A58" s="6"/>
      <c r="B58" s="6"/>
      <c r="C58" s="6"/>
      <c r="D58" s="11"/>
      <c r="E58" s="6"/>
      <c r="F58" s="12" t="n">
        <f aca="false">IF(E58="",0,IFERROR(INDEX('Gold Registry'!$H$4:$H$103,MATCH(E58,'Gold Registry'!$A$4:$A$103,0)),0))</f>
        <v>0</v>
      </c>
      <c r="G58" s="12" t="str">
        <f aca="false">IF(A58="","",SUMIFS('Black Log'!$F$4:$F$1000,'Black Log'!$B$4:$B$1000,A58))</f>
        <v/>
      </c>
      <c r="H58" s="12" t="str">
        <f aca="false">IF(A58="","",F58+G58)</f>
        <v/>
      </c>
      <c r="I58" s="6"/>
      <c r="J58" s="16"/>
      <c r="K58" s="12" t="str">
        <f aca="false">IF(A58="","","Highest tier — no upgrade")</f>
        <v/>
      </c>
    </row>
    <row r="59" customFormat="false" ht="15" hidden="false" customHeight="false" outlineLevel="0" collapsed="false">
      <c r="A59" s="6"/>
      <c r="B59" s="6"/>
      <c r="C59" s="6"/>
      <c r="D59" s="11"/>
      <c r="E59" s="6"/>
      <c r="F59" s="12" t="n">
        <f aca="false">IF(E59="",0,IFERROR(INDEX('Gold Registry'!$H$4:$H$103,MATCH(E59,'Gold Registry'!$A$4:$A$103,0)),0))</f>
        <v>0</v>
      </c>
      <c r="G59" s="12" t="str">
        <f aca="false">IF(A59="","",SUMIFS('Black Log'!$F$4:$F$1000,'Black Log'!$B$4:$B$1000,A59))</f>
        <v/>
      </c>
      <c r="H59" s="12" t="str">
        <f aca="false">IF(A59="","",F59+G59)</f>
        <v/>
      </c>
      <c r="I59" s="6"/>
      <c r="J59" s="16"/>
      <c r="K59" s="12" t="str">
        <f aca="false">IF(A59="","","Highest tier — no upgrade")</f>
        <v/>
      </c>
    </row>
    <row r="60" customFormat="false" ht="15" hidden="false" customHeight="false" outlineLevel="0" collapsed="false">
      <c r="A60" s="6"/>
      <c r="B60" s="6"/>
      <c r="C60" s="6"/>
      <c r="D60" s="11"/>
      <c r="E60" s="6"/>
      <c r="F60" s="12" t="n">
        <f aca="false">IF(E60="",0,IFERROR(INDEX('Gold Registry'!$H$4:$H$103,MATCH(E60,'Gold Registry'!$A$4:$A$103,0)),0))</f>
        <v>0</v>
      </c>
      <c r="G60" s="12" t="str">
        <f aca="false">IF(A60="","",SUMIFS('Black Log'!$F$4:$F$1000,'Black Log'!$B$4:$B$1000,A60))</f>
        <v/>
      </c>
      <c r="H60" s="12" t="str">
        <f aca="false">IF(A60="","",F60+G60)</f>
        <v/>
      </c>
      <c r="I60" s="6"/>
      <c r="J60" s="16"/>
      <c r="K60" s="12" t="str">
        <f aca="false">IF(A60="","","Highest tier — no upgrade")</f>
        <v/>
      </c>
    </row>
    <row r="61" customFormat="false" ht="15" hidden="false" customHeight="false" outlineLevel="0" collapsed="false">
      <c r="A61" s="6"/>
      <c r="B61" s="6"/>
      <c r="C61" s="6"/>
      <c r="D61" s="11"/>
      <c r="E61" s="6"/>
      <c r="F61" s="12" t="n">
        <f aca="false">IF(E61="",0,IFERROR(INDEX('Gold Registry'!$H$4:$H$103,MATCH(E61,'Gold Registry'!$A$4:$A$103,0)),0))</f>
        <v>0</v>
      </c>
      <c r="G61" s="12" t="str">
        <f aca="false">IF(A61="","",SUMIFS('Black Log'!$F$4:$F$1000,'Black Log'!$B$4:$B$1000,A61))</f>
        <v/>
      </c>
      <c r="H61" s="12" t="str">
        <f aca="false">IF(A61="","",F61+G61)</f>
        <v/>
      </c>
      <c r="I61" s="6"/>
      <c r="J61" s="16"/>
      <c r="K61" s="12" t="str">
        <f aca="false">IF(A61="","","Highest tier — no upgrade")</f>
        <v/>
      </c>
    </row>
    <row r="62" customFormat="false" ht="15" hidden="false" customHeight="false" outlineLevel="0" collapsed="false">
      <c r="A62" s="6"/>
      <c r="B62" s="6"/>
      <c r="C62" s="6"/>
      <c r="D62" s="11"/>
      <c r="E62" s="6"/>
      <c r="F62" s="12" t="n">
        <f aca="false">IF(E62="",0,IFERROR(INDEX('Gold Registry'!$H$4:$H$103,MATCH(E62,'Gold Registry'!$A$4:$A$103,0)),0))</f>
        <v>0</v>
      </c>
      <c r="G62" s="12" t="str">
        <f aca="false">IF(A62="","",SUMIFS('Black Log'!$F$4:$F$1000,'Black Log'!$B$4:$B$1000,A62))</f>
        <v/>
      </c>
      <c r="H62" s="12" t="str">
        <f aca="false">IF(A62="","",F62+G62)</f>
        <v/>
      </c>
      <c r="I62" s="6"/>
      <c r="J62" s="16"/>
      <c r="K62" s="12" t="str">
        <f aca="false">IF(A62="","","Highest tier — no upgrade")</f>
        <v/>
      </c>
    </row>
    <row r="63" customFormat="false" ht="15" hidden="false" customHeight="false" outlineLevel="0" collapsed="false">
      <c r="A63" s="6"/>
      <c r="B63" s="6"/>
      <c r="C63" s="6"/>
      <c r="D63" s="11"/>
      <c r="E63" s="6"/>
      <c r="F63" s="12" t="n">
        <f aca="false">IF(E63="",0,IFERROR(INDEX('Gold Registry'!$H$4:$H$103,MATCH(E63,'Gold Registry'!$A$4:$A$103,0)),0))</f>
        <v>0</v>
      </c>
      <c r="G63" s="12" t="str">
        <f aca="false">IF(A63="","",SUMIFS('Black Log'!$F$4:$F$1000,'Black Log'!$B$4:$B$1000,A63))</f>
        <v/>
      </c>
      <c r="H63" s="12" t="str">
        <f aca="false">IF(A63="","",F63+G63)</f>
        <v/>
      </c>
      <c r="I63" s="6"/>
      <c r="J63" s="16"/>
      <c r="K63" s="12" t="str">
        <f aca="false">IF(A63="","","Highest tier — no upgrade")</f>
        <v/>
      </c>
    </row>
    <row r="64" customFormat="false" ht="15" hidden="false" customHeight="false" outlineLevel="0" collapsed="false">
      <c r="A64" s="6"/>
      <c r="B64" s="6"/>
      <c r="C64" s="6"/>
      <c r="D64" s="11"/>
      <c r="E64" s="6"/>
      <c r="F64" s="12" t="n">
        <f aca="false">IF(E64="",0,IFERROR(INDEX('Gold Registry'!$H$4:$H$103,MATCH(E64,'Gold Registry'!$A$4:$A$103,0)),0))</f>
        <v>0</v>
      </c>
      <c r="G64" s="12" t="str">
        <f aca="false">IF(A64="","",SUMIFS('Black Log'!$F$4:$F$1000,'Black Log'!$B$4:$B$1000,A64))</f>
        <v/>
      </c>
      <c r="H64" s="12" t="str">
        <f aca="false">IF(A64="","",F64+G64)</f>
        <v/>
      </c>
      <c r="I64" s="6"/>
      <c r="J64" s="16"/>
      <c r="K64" s="12" t="str">
        <f aca="false">IF(A64="","","Highest tier — no upgrade")</f>
        <v/>
      </c>
    </row>
    <row r="65" customFormat="false" ht="15" hidden="false" customHeight="false" outlineLevel="0" collapsed="false">
      <c r="A65" s="6"/>
      <c r="B65" s="6"/>
      <c r="C65" s="6"/>
      <c r="D65" s="11"/>
      <c r="E65" s="6"/>
      <c r="F65" s="12" t="n">
        <f aca="false">IF(E65="",0,IFERROR(INDEX('Gold Registry'!$H$4:$H$103,MATCH(E65,'Gold Registry'!$A$4:$A$103,0)),0))</f>
        <v>0</v>
      </c>
      <c r="G65" s="12" t="str">
        <f aca="false">IF(A65="","",SUMIFS('Black Log'!$F$4:$F$1000,'Black Log'!$B$4:$B$1000,A65))</f>
        <v/>
      </c>
      <c r="H65" s="12" t="str">
        <f aca="false">IF(A65="","",F65+G65)</f>
        <v/>
      </c>
      <c r="I65" s="6"/>
      <c r="J65" s="16"/>
      <c r="K65" s="12" t="str">
        <f aca="false">IF(A65="","","Highest tier — no upgrade")</f>
        <v/>
      </c>
    </row>
    <row r="66" customFormat="false" ht="15" hidden="false" customHeight="false" outlineLevel="0" collapsed="false">
      <c r="A66" s="6"/>
      <c r="B66" s="6"/>
      <c r="C66" s="6"/>
      <c r="D66" s="11"/>
      <c r="E66" s="6"/>
      <c r="F66" s="12" t="n">
        <f aca="false">IF(E66="",0,IFERROR(INDEX('Gold Registry'!$H$4:$H$103,MATCH(E66,'Gold Registry'!$A$4:$A$103,0)),0))</f>
        <v>0</v>
      </c>
      <c r="G66" s="12" t="str">
        <f aca="false">IF(A66="","",SUMIFS('Black Log'!$F$4:$F$1000,'Black Log'!$B$4:$B$1000,A66))</f>
        <v/>
      </c>
      <c r="H66" s="12" t="str">
        <f aca="false">IF(A66="","",F66+G66)</f>
        <v/>
      </c>
      <c r="I66" s="6"/>
      <c r="J66" s="16"/>
      <c r="K66" s="12" t="str">
        <f aca="false">IF(A66="","","Highest tier — no upgrade")</f>
        <v/>
      </c>
    </row>
    <row r="67" customFormat="false" ht="15" hidden="false" customHeight="false" outlineLevel="0" collapsed="false">
      <c r="A67" s="6"/>
      <c r="B67" s="6"/>
      <c r="C67" s="6"/>
      <c r="D67" s="11"/>
      <c r="E67" s="6"/>
      <c r="F67" s="12" t="n">
        <f aca="false">IF(E67="",0,IFERROR(INDEX('Gold Registry'!$H$4:$H$103,MATCH(E67,'Gold Registry'!$A$4:$A$103,0)),0))</f>
        <v>0</v>
      </c>
      <c r="G67" s="12" t="str">
        <f aca="false">IF(A67="","",SUMIFS('Black Log'!$F$4:$F$1000,'Black Log'!$B$4:$B$1000,A67))</f>
        <v/>
      </c>
      <c r="H67" s="12" t="str">
        <f aca="false">IF(A67="","",F67+G67)</f>
        <v/>
      </c>
      <c r="I67" s="6"/>
      <c r="J67" s="16"/>
      <c r="K67" s="12" t="str">
        <f aca="false">IF(A67="","","Highest tier — no upgrade")</f>
        <v/>
      </c>
    </row>
    <row r="68" customFormat="false" ht="15" hidden="false" customHeight="false" outlineLevel="0" collapsed="false">
      <c r="A68" s="6"/>
      <c r="B68" s="6"/>
      <c r="C68" s="6"/>
      <c r="D68" s="11"/>
      <c r="E68" s="6"/>
      <c r="F68" s="12" t="n">
        <f aca="false">IF(E68="",0,IFERROR(INDEX('Gold Registry'!$H$4:$H$103,MATCH(E68,'Gold Registry'!$A$4:$A$103,0)),0))</f>
        <v>0</v>
      </c>
      <c r="G68" s="12" t="str">
        <f aca="false">IF(A68="","",SUMIFS('Black Log'!$F$4:$F$1000,'Black Log'!$B$4:$B$1000,A68))</f>
        <v/>
      </c>
      <c r="H68" s="12" t="str">
        <f aca="false">IF(A68="","",F68+G68)</f>
        <v/>
      </c>
      <c r="I68" s="6"/>
      <c r="J68" s="16"/>
      <c r="K68" s="12" t="str">
        <f aca="false">IF(A68="","","Highest tier — no upgrade")</f>
        <v/>
      </c>
    </row>
    <row r="69" customFormat="false" ht="15" hidden="false" customHeight="false" outlineLevel="0" collapsed="false">
      <c r="A69" s="6"/>
      <c r="B69" s="6"/>
      <c r="C69" s="6"/>
      <c r="D69" s="11"/>
      <c r="E69" s="6"/>
      <c r="F69" s="12" t="n">
        <f aca="false">IF(E69="",0,IFERROR(INDEX('Gold Registry'!$H$4:$H$103,MATCH(E69,'Gold Registry'!$A$4:$A$103,0)),0))</f>
        <v>0</v>
      </c>
      <c r="G69" s="12" t="str">
        <f aca="false">IF(A69="","",SUMIFS('Black Log'!$F$4:$F$1000,'Black Log'!$B$4:$B$1000,A69))</f>
        <v/>
      </c>
      <c r="H69" s="12" t="str">
        <f aca="false">IF(A69="","",F69+G69)</f>
        <v/>
      </c>
      <c r="I69" s="6"/>
      <c r="J69" s="16"/>
      <c r="K69" s="12" t="str">
        <f aca="false">IF(A69="","","Highest tier — no upgrade")</f>
        <v/>
      </c>
    </row>
    <row r="70" customFormat="false" ht="15" hidden="false" customHeight="false" outlineLevel="0" collapsed="false">
      <c r="A70" s="6"/>
      <c r="B70" s="6"/>
      <c r="C70" s="6"/>
      <c r="D70" s="11"/>
      <c r="E70" s="6"/>
      <c r="F70" s="12" t="n">
        <f aca="false">IF(E70="",0,IFERROR(INDEX('Gold Registry'!$H$4:$H$103,MATCH(E70,'Gold Registry'!$A$4:$A$103,0)),0))</f>
        <v>0</v>
      </c>
      <c r="G70" s="12" t="str">
        <f aca="false">IF(A70="","",SUMIFS('Black Log'!$F$4:$F$1000,'Black Log'!$B$4:$B$1000,A70))</f>
        <v/>
      </c>
      <c r="H70" s="12" t="str">
        <f aca="false">IF(A70="","",F70+G70)</f>
        <v/>
      </c>
      <c r="I70" s="6"/>
      <c r="J70" s="16"/>
      <c r="K70" s="12" t="str">
        <f aca="false">IF(A70="","","Highest tier — no upgrade")</f>
        <v/>
      </c>
    </row>
    <row r="71" customFormat="false" ht="15" hidden="false" customHeight="false" outlineLevel="0" collapsed="false">
      <c r="A71" s="6"/>
      <c r="B71" s="6"/>
      <c r="C71" s="6"/>
      <c r="D71" s="11"/>
      <c r="E71" s="6"/>
      <c r="F71" s="12" t="n">
        <f aca="false">IF(E71="",0,IFERROR(INDEX('Gold Registry'!$H$4:$H$103,MATCH(E71,'Gold Registry'!$A$4:$A$103,0)),0))</f>
        <v>0</v>
      </c>
      <c r="G71" s="12" t="str">
        <f aca="false">IF(A71="","",SUMIFS('Black Log'!$F$4:$F$1000,'Black Log'!$B$4:$B$1000,A71))</f>
        <v/>
      </c>
      <c r="H71" s="12" t="str">
        <f aca="false">IF(A71="","",F71+G71)</f>
        <v/>
      </c>
      <c r="I71" s="6"/>
      <c r="J71" s="16"/>
      <c r="K71" s="12" t="str">
        <f aca="false">IF(A71="","","Highest tier — no upgrade")</f>
        <v/>
      </c>
    </row>
    <row r="72" customFormat="false" ht="15" hidden="false" customHeight="false" outlineLevel="0" collapsed="false">
      <c r="A72" s="6"/>
      <c r="B72" s="6"/>
      <c r="C72" s="6"/>
      <c r="D72" s="11"/>
      <c r="E72" s="6"/>
      <c r="F72" s="12" t="n">
        <f aca="false">IF(E72="",0,IFERROR(INDEX('Gold Registry'!$H$4:$H$103,MATCH(E72,'Gold Registry'!$A$4:$A$103,0)),0))</f>
        <v>0</v>
      </c>
      <c r="G72" s="12" t="str">
        <f aca="false">IF(A72="","",SUMIFS('Black Log'!$F$4:$F$1000,'Black Log'!$B$4:$B$1000,A72))</f>
        <v/>
      </c>
      <c r="H72" s="12" t="str">
        <f aca="false">IF(A72="","",F72+G72)</f>
        <v/>
      </c>
      <c r="I72" s="6"/>
      <c r="J72" s="16"/>
      <c r="K72" s="12" t="str">
        <f aca="false">IF(A72="","","Highest tier — no upgrade")</f>
        <v/>
      </c>
    </row>
    <row r="73" customFormat="false" ht="15" hidden="false" customHeight="false" outlineLevel="0" collapsed="false">
      <c r="A73" s="6"/>
      <c r="B73" s="6"/>
      <c r="C73" s="6"/>
      <c r="D73" s="11"/>
      <c r="E73" s="6"/>
      <c r="F73" s="12" t="n">
        <f aca="false">IF(E73="",0,IFERROR(INDEX('Gold Registry'!$H$4:$H$103,MATCH(E73,'Gold Registry'!$A$4:$A$103,0)),0))</f>
        <v>0</v>
      </c>
      <c r="G73" s="12" t="str">
        <f aca="false">IF(A73="","",SUMIFS('Black Log'!$F$4:$F$1000,'Black Log'!$B$4:$B$1000,A73))</f>
        <v/>
      </c>
      <c r="H73" s="12" t="str">
        <f aca="false">IF(A73="","",F73+G73)</f>
        <v/>
      </c>
      <c r="I73" s="6"/>
      <c r="J73" s="16"/>
      <c r="K73" s="12" t="str">
        <f aca="false">IF(A73="","","Highest tier — no upgrade")</f>
        <v/>
      </c>
    </row>
    <row r="74" customFormat="false" ht="15" hidden="false" customHeight="false" outlineLevel="0" collapsed="false">
      <c r="A74" s="6"/>
      <c r="B74" s="6"/>
      <c r="C74" s="6"/>
      <c r="D74" s="11"/>
      <c r="E74" s="6"/>
      <c r="F74" s="12" t="n">
        <f aca="false">IF(E74="",0,IFERROR(INDEX('Gold Registry'!$H$4:$H$103,MATCH(E74,'Gold Registry'!$A$4:$A$103,0)),0))</f>
        <v>0</v>
      </c>
      <c r="G74" s="12" t="str">
        <f aca="false">IF(A74="","",SUMIFS('Black Log'!$F$4:$F$1000,'Black Log'!$B$4:$B$1000,A74))</f>
        <v/>
      </c>
      <c r="H74" s="12" t="str">
        <f aca="false">IF(A74="","",F74+G74)</f>
        <v/>
      </c>
      <c r="I74" s="6"/>
      <c r="J74" s="16"/>
      <c r="K74" s="12" t="str">
        <f aca="false">IF(A74="","","Highest tier — no upgrade")</f>
        <v/>
      </c>
    </row>
    <row r="75" customFormat="false" ht="15" hidden="false" customHeight="false" outlineLevel="0" collapsed="false">
      <c r="A75" s="6"/>
      <c r="B75" s="6"/>
      <c r="C75" s="6"/>
      <c r="D75" s="11"/>
      <c r="E75" s="6"/>
      <c r="F75" s="12" t="n">
        <f aca="false">IF(E75="",0,IFERROR(INDEX('Gold Registry'!$H$4:$H$103,MATCH(E75,'Gold Registry'!$A$4:$A$103,0)),0))</f>
        <v>0</v>
      </c>
      <c r="G75" s="12" t="str">
        <f aca="false">IF(A75="","",SUMIFS('Black Log'!$F$4:$F$1000,'Black Log'!$B$4:$B$1000,A75))</f>
        <v/>
      </c>
      <c r="H75" s="12" t="str">
        <f aca="false">IF(A75="","",F75+G75)</f>
        <v/>
      </c>
      <c r="I75" s="6"/>
      <c r="J75" s="16"/>
      <c r="K75" s="12" t="str">
        <f aca="false">IF(A75="","","Highest tier — no upgrade")</f>
        <v/>
      </c>
    </row>
    <row r="76" customFormat="false" ht="15" hidden="false" customHeight="false" outlineLevel="0" collapsed="false">
      <c r="A76" s="6"/>
      <c r="B76" s="6"/>
      <c r="C76" s="6"/>
      <c r="D76" s="11"/>
      <c r="E76" s="6"/>
      <c r="F76" s="12" t="n">
        <f aca="false">IF(E76="",0,IFERROR(INDEX('Gold Registry'!$H$4:$H$103,MATCH(E76,'Gold Registry'!$A$4:$A$103,0)),0))</f>
        <v>0</v>
      </c>
      <c r="G76" s="12" t="str">
        <f aca="false">IF(A76="","",SUMIFS('Black Log'!$F$4:$F$1000,'Black Log'!$B$4:$B$1000,A76))</f>
        <v/>
      </c>
      <c r="H76" s="12" t="str">
        <f aca="false">IF(A76="","",F76+G76)</f>
        <v/>
      </c>
      <c r="I76" s="6"/>
      <c r="J76" s="16"/>
      <c r="K76" s="12" t="str">
        <f aca="false">IF(A76="","","Highest tier — no upgrade")</f>
        <v/>
      </c>
    </row>
    <row r="77" customFormat="false" ht="15" hidden="false" customHeight="false" outlineLevel="0" collapsed="false">
      <c r="A77" s="6"/>
      <c r="B77" s="6"/>
      <c r="C77" s="6"/>
      <c r="D77" s="11"/>
      <c r="E77" s="6"/>
      <c r="F77" s="12" t="n">
        <f aca="false">IF(E77="",0,IFERROR(INDEX('Gold Registry'!$H$4:$H$103,MATCH(E77,'Gold Registry'!$A$4:$A$103,0)),0))</f>
        <v>0</v>
      </c>
      <c r="G77" s="12" t="str">
        <f aca="false">IF(A77="","",SUMIFS('Black Log'!$F$4:$F$1000,'Black Log'!$B$4:$B$1000,A77))</f>
        <v/>
      </c>
      <c r="H77" s="12" t="str">
        <f aca="false">IF(A77="","",F77+G77)</f>
        <v/>
      </c>
      <c r="I77" s="6"/>
      <c r="J77" s="16"/>
      <c r="K77" s="12" t="str">
        <f aca="false">IF(A77="","","Highest tier — no upgrade")</f>
        <v/>
      </c>
    </row>
    <row r="78" customFormat="false" ht="15" hidden="false" customHeight="false" outlineLevel="0" collapsed="false">
      <c r="A78" s="6"/>
      <c r="B78" s="6"/>
      <c r="C78" s="6"/>
      <c r="D78" s="11"/>
      <c r="E78" s="6"/>
      <c r="F78" s="12" t="n">
        <f aca="false">IF(E78="",0,IFERROR(INDEX('Gold Registry'!$H$4:$H$103,MATCH(E78,'Gold Registry'!$A$4:$A$103,0)),0))</f>
        <v>0</v>
      </c>
      <c r="G78" s="12" t="str">
        <f aca="false">IF(A78="","",SUMIFS('Black Log'!$F$4:$F$1000,'Black Log'!$B$4:$B$1000,A78))</f>
        <v/>
      </c>
      <c r="H78" s="12" t="str">
        <f aca="false">IF(A78="","",F78+G78)</f>
        <v/>
      </c>
      <c r="I78" s="6"/>
      <c r="J78" s="16"/>
      <c r="K78" s="12" t="str">
        <f aca="false">IF(A78="","","Highest tier — no upgrade")</f>
        <v/>
      </c>
    </row>
    <row r="79" customFormat="false" ht="15" hidden="false" customHeight="false" outlineLevel="0" collapsed="false">
      <c r="A79" s="6"/>
      <c r="B79" s="6"/>
      <c r="C79" s="6"/>
      <c r="D79" s="11"/>
      <c r="E79" s="6"/>
      <c r="F79" s="12" t="n">
        <f aca="false">IF(E79="",0,IFERROR(INDEX('Gold Registry'!$H$4:$H$103,MATCH(E79,'Gold Registry'!$A$4:$A$103,0)),0))</f>
        <v>0</v>
      </c>
      <c r="G79" s="12" t="str">
        <f aca="false">IF(A79="","",SUMIFS('Black Log'!$F$4:$F$1000,'Black Log'!$B$4:$B$1000,A79))</f>
        <v/>
      </c>
      <c r="H79" s="12" t="str">
        <f aca="false">IF(A79="","",F79+G79)</f>
        <v/>
      </c>
      <c r="I79" s="6"/>
      <c r="J79" s="16"/>
      <c r="K79" s="12" t="str">
        <f aca="false">IF(A79="","","Highest tier — no upgrade")</f>
        <v/>
      </c>
    </row>
    <row r="80" customFormat="false" ht="15" hidden="false" customHeight="false" outlineLevel="0" collapsed="false">
      <c r="A80" s="6"/>
      <c r="B80" s="6"/>
      <c r="C80" s="6"/>
      <c r="D80" s="11"/>
      <c r="E80" s="6"/>
      <c r="F80" s="12" t="n">
        <f aca="false">IF(E80="",0,IFERROR(INDEX('Gold Registry'!$H$4:$H$103,MATCH(E80,'Gold Registry'!$A$4:$A$103,0)),0))</f>
        <v>0</v>
      </c>
      <c r="G80" s="12" t="str">
        <f aca="false">IF(A80="","",SUMIFS('Black Log'!$F$4:$F$1000,'Black Log'!$B$4:$B$1000,A80))</f>
        <v/>
      </c>
      <c r="H80" s="12" t="str">
        <f aca="false">IF(A80="","",F80+G80)</f>
        <v/>
      </c>
      <c r="I80" s="6"/>
      <c r="J80" s="16"/>
      <c r="K80" s="12" t="str">
        <f aca="false">IF(A80="","","Highest tier — no upgrade")</f>
        <v/>
      </c>
    </row>
    <row r="81" customFormat="false" ht="15" hidden="false" customHeight="false" outlineLevel="0" collapsed="false">
      <c r="A81" s="6"/>
      <c r="B81" s="6"/>
      <c r="C81" s="6"/>
      <c r="D81" s="11"/>
      <c r="E81" s="6"/>
      <c r="F81" s="12" t="n">
        <f aca="false">IF(E81="",0,IFERROR(INDEX('Gold Registry'!$H$4:$H$103,MATCH(E81,'Gold Registry'!$A$4:$A$103,0)),0))</f>
        <v>0</v>
      </c>
      <c r="G81" s="12" t="str">
        <f aca="false">IF(A81="","",SUMIFS('Black Log'!$F$4:$F$1000,'Black Log'!$B$4:$B$1000,A81))</f>
        <v/>
      </c>
      <c r="H81" s="12" t="str">
        <f aca="false">IF(A81="","",F81+G81)</f>
        <v/>
      </c>
      <c r="I81" s="6"/>
      <c r="J81" s="16"/>
      <c r="K81" s="12" t="str">
        <f aca="false">IF(A81="","","Highest tier — no upgrade")</f>
        <v/>
      </c>
    </row>
    <row r="82" customFormat="false" ht="15" hidden="false" customHeight="false" outlineLevel="0" collapsed="false">
      <c r="A82" s="6"/>
      <c r="B82" s="6"/>
      <c r="C82" s="6"/>
      <c r="D82" s="11"/>
      <c r="E82" s="6"/>
      <c r="F82" s="12" t="n">
        <f aca="false">IF(E82="",0,IFERROR(INDEX('Gold Registry'!$H$4:$H$103,MATCH(E82,'Gold Registry'!$A$4:$A$103,0)),0))</f>
        <v>0</v>
      </c>
      <c r="G82" s="12" t="str">
        <f aca="false">IF(A82="","",SUMIFS('Black Log'!$F$4:$F$1000,'Black Log'!$B$4:$B$1000,A82))</f>
        <v/>
      </c>
      <c r="H82" s="12" t="str">
        <f aca="false">IF(A82="","",F82+G82)</f>
        <v/>
      </c>
      <c r="I82" s="6"/>
      <c r="J82" s="16"/>
      <c r="K82" s="12" t="str">
        <f aca="false">IF(A82="","","Highest tier — no upgrade")</f>
        <v/>
      </c>
    </row>
    <row r="83" customFormat="false" ht="15" hidden="false" customHeight="false" outlineLevel="0" collapsed="false">
      <c r="A83" s="6"/>
      <c r="B83" s="6"/>
      <c r="C83" s="6"/>
      <c r="D83" s="11"/>
      <c r="E83" s="6"/>
      <c r="F83" s="12" t="n">
        <f aca="false">IF(E83="",0,IFERROR(INDEX('Gold Registry'!$H$4:$H$103,MATCH(E83,'Gold Registry'!$A$4:$A$103,0)),0))</f>
        <v>0</v>
      </c>
      <c r="G83" s="12" t="str">
        <f aca="false">IF(A83="","",SUMIFS('Black Log'!$F$4:$F$1000,'Black Log'!$B$4:$B$1000,A83))</f>
        <v/>
      </c>
      <c r="H83" s="12" t="str">
        <f aca="false">IF(A83="","",F83+G83)</f>
        <v/>
      </c>
      <c r="I83" s="6"/>
      <c r="J83" s="16"/>
      <c r="K83" s="12" t="str">
        <f aca="false">IF(A83="","","Highest tier — no upgrade")</f>
        <v/>
      </c>
    </row>
    <row r="84" customFormat="false" ht="15" hidden="false" customHeight="false" outlineLevel="0" collapsed="false">
      <c r="A84" s="6"/>
      <c r="B84" s="6"/>
      <c r="C84" s="6"/>
      <c r="D84" s="11"/>
      <c r="E84" s="6"/>
      <c r="F84" s="12" t="n">
        <f aca="false">IF(E84="",0,IFERROR(INDEX('Gold Registry'!$H$4:$H$103,MATCH(E84,'Gold Registry'!$A$4:$A$103,0)),0))</f>
        <v>0</v>
      </c>
      <c r="G84" s="12" t="str">
        <f aca="false">IF(A84="","",SUMIFS('Black Log'!$F$4:$F$1000,'Black Log'!$B$4:$B$1000,A84))</f>
        <v/>
      </c>
      <c r="H84" s="12" t="str">
        <f aca="false">IF(A84="","",F84+G84)</f>
        <v/>
      </c>
      <c r="I84" s="6"/>
      <c r="J84" s="16"/>
      <c r="K84" s="12" t="str">
        <f aca="false">IF(A84="","","Highest tier — no upgrade")</f>
        <v/>
      </c>
    </row>
    <row r="85" customFormat="false" ht="15" hidden="false" customHeight="false" outlineLevel="0" collapsed="false">
      <c r="A85" s="6"/>
      <c r="B85" s="6"/>
      <c r="C85" s="6"/>
      <c r="D85" s="11"/>
      <c r="E85" s="6"/>
      <c r="F85" s="12" t="n">
        <f aca="false">IF(E85="",0,IFERROR(INDEX('Gold Registry'!$H$4:$H$103,MATCH(E85,'Gold Registry'!$A$4:$A$103,0)),0))</f>
        <v>0</v>
      </c>
      <c r="G85" s="12" t="str">
        <f aca="false">IF(A85="","",SUMIFS('Black Log'!$F$4:$F$1000,'Black Log'!$B$4:$B$1000,A85))</f>
        <v/>
      </c>
      <c r="H85" s="12" t="str">
        <f aca="false">IF(A85="","",F85+G85)</f>
        <v/>
      </c>
      <c r="I85" s="6"/>
      <c r="J85" s="16"/>
      <c r="K85" s="12" t="str">
        <f aca="false">IF(A85="","","Highest tier — no upgrade")</f>
        <v/>
      </c>
    </row>
    <row r="86" customFormat="false" ht="15" hidden="false" customHeight="false" outlineLevel="0" collapsed="false">
      <c r="A86" s="6"/>
      <c r="B86" s="6"/>
      <c r="C86" s="6"/>
      <c r="D86" s="11"/>
      <c r="E86" s="6"/>
      <c r="F86" s="12" t="n">
        <f aca="false">IF(E86="",0,IFERROR(INDEX('Gold Registry'!$H$4:$H$103,MATCH(E86,'Gold Registry'!$A$4:$A$103,0)),0))</f>
        <v>0</v>
      </c>
      <c r="G86" s="12" t="str">
        <f aca="false">IF(A86="","",SUMIFS('Black Log'!$F$4:$F$1000,'Black Log'!$B$4:$B$1000,A86))</f>
        <v/>
      </c>
      <c r="H86" s="12" t="str">
        <f aca="false">IF(A86="","",F86+G86)</f>
        <v/>
      </c>
      <c r="I86" s="6"/>
      <c r="J86" s="16"/>
      <c r="K86" s="12" t="str">
        <f aca="false">IF(A86="","","Highest tier — no upgrade")</f>
        <v/>
      </c>
    </row>
    <row r="87" customFormat="false" ht="15" hidden="false" customHeight="false" outlineLevel="0" collapsed="false">
      <c r="A87" s="6"/>
      <c r="B87" s="6"/>
      <c r="C87" s="6"/>
      <c r="D87" s="11"/>
      <c r="E87" s="6"/>
      <c r="F87" s="12" t="n">
        <f aca="false">IF(E87="",0,IFERROR(INDEX('Gold Registry'!$H$4:$H$103,MATCH(E87,'Gold Registry'!$A$4:$A$103,0)),0))</f>
        <v>0</v>
      </c>
      <c r="G87" s="12" t="str">
        <f aca="false">IF(A87="","",SUMIFS('Black Log'!$F$4:$F$1000,'Black Log'!$B$4:$B$1000,A87))</f>
        <v/>
      </c>
      <c r="H87" s="12" t="str">
        <f aca="false">IF(A87="","",F87+G87)</f>
        <v/>
      </c>
      <c r="I87" s="6"/>
      <c r="J87" s="16"/>
      <c r="K87" s="12" t="str">
        <f aca="false">IF(A87="","","Highest tier — no upgrade")</f>
        <v/>
      </c>
    </row>
    <row r="88" customFormat="false" ht="15" hidden="false" customHeight="false" outlineLevel="0" collapsed="false">
      <c r="A88" s="6"/>
      <c r="B88" s="6"/>
      <c r="C88" s="6"/>
      <c r="D88" s="11"/>
      <c r="E88" s="6"/>
      <c r="F88" s="12" t="n">
        <f aca="false">IF(E88="",0,IFERROR(INDEX('Gold Registry'!$H$4:$H$103,MATCH(E88,'Gold Registry'!$A$4:$A$103,0)),0))</f>
        <v>0</v>
      </c>
      <c r="G88" s="12" t="str">
        <f aca="false">IF(A88="","",SUMIFS('Black Log'!$F$4:$F$1000,'Black Log'!$B$4:$B$1000,A88))</f>
        <v/>
      </c>
      <c r="H88" s="12" t="str">
        <f aca="false">IF(A88="","",F88+G88)</f>
        <v/>
      </c>
      <c r="I88" s="6"/>
      <c r="J88" s="16"/>
      <c r="K88" s="12" t="str">
        <f aca="false">IF(A88="","","Highest tier — no upgrade")</f>
        <v/>
      </c>
    </row>
    <row r="89" customFormat="false" ht="15" hidden="false" customHeight="false" outlineLevel="0" collapsed="false">
      <c r="A89" s="6"/>
      <c r="B89" s="6"/>
      <c r="C89" s="6"/>
      <c r="D89" s="11"/>
      <c r="E89" s="6"/>
      <c r="F89" s="12" t="n">
        <f aca="false">IF(E89="",0,IFERROR(INDEX('Gold Registry'!$H$4:$H$103,MATCH(E89,'Gold Registry'!$A$4:$A$103,0)),0))</f>
        <v>0</v>
      </c>
      <c r="G89" s="12" t="str">
        <f aca="false">IF(A89="","",SUMIFS('Black Log'!$F$4:$F$1000,'Black Log'!$B$4:$B$1000,A89))</f>
        <v/>
      </c>
      <c r="H89" s="12" t="str">
        <f aca="false">IF(A89="","",F89+G89)</f>
        <v/>
      </c>
      <c r="I89" s="6"/>
      <c r="J89" s="16"/>
      <c r="K89" s="12" t="str">
        <f aca="false">IF(A89="","","Highest tier — no upgrade")</f>
        <v/>
      </c>
    </row>
    <row r="90" customFormat="false" ht="15" hidden="false" customHeight="false" outlineLevel="0" collapsed="false">
      <c r="A90" s="6"/>
      <c r="B90" s="6"/>
      <c r="C90" s="6"/>
      <c r="D90" s="11"/>
      <c r="E90" s="6"/>
      <c r="F90" s="12" t="n">
        <f aca="false">IF(E90="",0,IFERROR(INDEX('Gold Registry'!$H$4:$H$103,MATCH(E90,'Gold Registry'!$A$4:$A$103,0)),0))</f>
        <v>0</v>
      </c>
      <c r="G90" s="12" t="str">
        <f aca="false">IF(A90="","",SUMIFS('Black Log'!$F$4:$F$1000,'Black Log'!$B$4:$B$1000,A90))</f>
        <v/>
      </c>
      <c r="H90" s="12" t="str">
        <f aca="false">IF(A90="","",F90+G90)</f>
        <v/>
      </c>
      <c r="I90" s="6"/>
      <c r="J90" s="16"/>
      <c r="K90" s="12" t="str">
        <f aca="false">IF(A90="","","Highest tier — no upgrade")</f>
        <v/>
      </c>
    </row>
    <row r="91" customFormat="false" ht="15" hidden="false" customHeight="false" outlineLevel="0" collapsed="false">
      <c r="A91" s="6"/>
      <c r="B91" s="6"/>
      <c r="C91" s="6"/>
      <c r="D91" s="11"/>
      <c r="E91" s="6"/>
      <c r="F91" s="12" t="n">
        <f aca="false">IF(E91="",0,IFERROR(INDEX('Gold Registry'!$H$4:$H$103,MATCH(E91,'Gold Registry'!$A$4:$A$103,0)),0))</f>
        <v>0</v>
      </c>
      <c r="G91" s="12" t="str">
        <f aca="false">IF(A91="","",SUMIFS('Black Log'!$F$4:$F$1000,'Black Log'!$B$4:$B$1000,A91))</f>
        <v/>
      </c>
      <c r="H91" s="12" t="str">
        <f aca="false">IF(A91="","",F91+G91)</f>
        <v/>
      </c>
      <c r="I91" s="6"/>
      <c r="J91" s="16"/>
      <c r="K91" s="12" t="str">
        <f aca="false">IF(A91="","","Highest tier — no upgrade")</f>
        <v/>
      </c>
    </row>
    <row r="92" customFormat="false" ht="15" hidden="false" customHeight="false" outlineLevel="0" collapsed="false">
      <c r="A92" s="6"/>
      <c r="B92" s="6"/>
      <c r="C92" s="6"/>
      <c r="D92" s="11"/>
      <c r="E92" s="6"/>
      <c r="F92" s="12" t="n">
        <f aca="false">IF(E92="",0,IFERROR(INDEX('Gold Registry'!$H$4:$H$103,MATCH(E92,'Gold Registry'!$A$4:$A$103,0)),0))</f>
        <v>0</v>
      </c>
      <c r="G92" s="12" t="str">
        <f aca="false">IF(A92="","",SUMIFS('Black Log'!$F$4:$F$1000,'Black Log'!$B$4:$B$1000,A92))</f>
        <v/>
      </c>
      <c r="H92" s="12" t="str">
        <f aca="false">IF(A92="","",F92+G92)</f>
        <v/>
      </c>
      <c r="I92" s="6"/>
      <c r="J92" s="16"/>
      <c r="K92" s="12" t="str">
        <f aca="false">IF(A92="","","Highest tier — no upgrade")</f>
        <v/>
      </c>
    </row>
    <row r="93" customFormat="false" ht="15" hidden="false" customHeight="false" outlineLevel="0" collapsed="false">
      <c r="A93" s="6"/>
      <c r="B93" s="6"/>
      <c r="C93" s="6"/>
      <c r="D93" s="11"/>
      <c r="E93" s="6"/>
      <c r="F93" s="12" t="n">
        <f aca="false">IF(E93="",0,IFERROR(INDEX('Gold Registry'!$H$4:$H$103,MATCH(E93,'Gold Registry'!$A$4:$A$103,0)),0))</f>
        <v>0</v>
      </c>
      <c r="G93" s="12" t="str">
        <f aca="false">IF(A93="","",SUMIFS('Black Log'!$F$4:$F$1000,'Black Log'!$B$4:$B$1000,A93))</f>
        <v/>
      </c>
      <c r="H93" s="12" t="str">
        <f aca="false">IF(A93="","",F93+G93)</f>
        <v/>
      </c>
      <c r="I93" s="6"/>
      <c r="J93" s="16"/>
      <c r="K93" s="12" t="str">
        <f aca="false">IF(A93="","","Highest tier — no upgrade")</f>
        <v/>
      </c>
    </row>
    <row r="94" customFormat="false" ht="15" hidden="false" customHeight="false" outlineLevel="0" collapsed="false">
      <c r="A94" s="6"/>
      <c r="B94" s="6"/>
      <c r="C94" s="6"/>
      <c r="D94" s="11"/>
      <c r="E94" s="6"/>
      <c r="F94" s="12" t="n">
        <f aca="false">IF(E94="",0,IFERROR(INDEX('Gold Registry'!$H$4:$H$103,MATCH(E94,'Gold Registry'!$A$4:$A$103,0)),0))</f>
        <v>0</v>
      </c>
      <c r="G94" s="12" t="str">
        <f aca="false">IF(A94="","",SUMIFS('Black Log'!$F$4:$F$1000,'Black Log'!$B$4:$B$1000,A94))</f>
        <v/>
      </c>
      <c r="H94" s="12" t="str">
        <f aca="false">IF(A94="","",F94+G94)</f>
        <v/>
      </c>
      <c r="I94" s="6"/>
      <c r="J94" s="16"/>
      <c r="K94" s="12" t="str">
        <f aca="false">IF(A94="","","Highest tier — no upgrade")</f>
        <v/>
      </c>
    </row>
    <row r="95" customFormat="false" ht="15" hidden="false" customHeight="false" outlineLevel="0" collapsed="false">
      <c r="A95" s="6"/>
      <c r="B95" s="6"/>
      <c r="C95" s="6"/>
      <c r="D95" s="11"/>
      <c r="E95" s="6"/>
      <c r="F95" s="12" t="n">
        <f aca="false">IF(E95="",0,IFERROR(INDEX('Gold Registry'!$H$4:$H$103,MATCH(E95,'Gold Registry'!$A$4:$A$103,0)),0))</f>
        <v>0</v>
      </c>
      <c r="G95" s="12" t="str">
        <f aca="false">IF(A95="","",SUMIFS('Black Log'!$F$4:$F$1000,'Black Log'!$B$4:$B$1000,A95))</f>
        <v/>
      </c>
      <c r="H95" s="12" t="str">
        <f aca="false">IF(A95="","",F95+G95)</f>
        <v/>
      </c>
      <c r="I95" s="6"/>
      <c r="J95" s="16"/>
      <c r="K95" s="12" t="str">
        <f aca="false">IF(A95="","","Highest tier — no upgrade")</f>
        <v/>
      </c>
    </row>
    <row r="96" customFormat="false" ht="15" hidden="false" customHeight="false" outlineLevel="0" collapsed="false">
      <c r="A96" s="6"/>
      <c r="B96" s="6"/>
      <c r="C96" s="6"/>
      <c r="D96" s="11"/>
      <c r="E96" s="6"/>
      <c r="F96" s="12" t="n">
        <f aca="false">IF(E96="",0,IFERROR(INDEX('Gold Registry'!$H$4:$H$103,MATCH(E96,'Gold Registry'!$A$4:$A$103,0)),0))</f>
        <v>0</v>
      </c>
      <c r="G96" s="12" t="str">
        <f aca="false">IF(A96="","",SUMIFS('Black Log'!$F$4:$F$1000,'Black Log'!$B$4:$B$1000,A96))</f>
        <v/>
      </c>
      <c r="H96" s="12" t="str">
        <f aca="false">IF(A96="","",F96+G96)</f>
        <v/>
      </c>
      <c r="I96" s="6"/>
      <c r="J96" s="16"/>
      <c r="K96" s="12" t="str">
        <f aca="false">IF(A96="","","Highest tier — no upgrade")</f>
        <v/>
      </c>
    </row>
    <row r="97" customFormat="false" ht="15" hidden="false" customHeight="false" outlineLevel="0" collapsed="false">
      <c r="A97" s="6"/>
      <c r="B97" s="6"/>
      <c r="C97" s="6"/>
      <c r="D97" s="11"/>
      <c r="E97" s="6"/>
      <c r="F97" s="12" t="n">
        <f aca="false">IF(E97="",0,IFERROR(INDEX('Gold Registry'!$H$4:$H$103,MATCH(E97,'Gold Registry'!$A$4:$A$103,0)),0))</f>
        <v>0</v>
      </c>
      <c r="G97" s="12" t="str">
        <f aca="false">IF(A97="","",SUMIFS('Black Log'!$F$4:$F$1000,'Black Log'!$B$4:$B$1000,A97))</f>
        <v/>
      </c>
      <c r="H97" s="12" t="str">
        <f aca="false">IF(A97="","",F97+G97)</f>
        <v/>
      </c>
      <c r="I97" s="6"/>
      <c r="J97" s="16"/>
      <c r="K97" s="12" t="str">
        <f aca="false">IF(A97="","","Highest tier — no upgrade")</f>
        <v/>
      </c>
    </row>
    <row r="98" customFormat="false" ht="15" hidden="false" customHeight="false" outlineLevel="0" collapsed="false">
      <c r="A98" s="6"/>
      <c r="B98" s="6"/>
      <c r="C98" s="6"/>
      <c r="D98" s="11"/>
      <c r="E98" s="6"/>
      <c r="F98" s="12" t="n">
        <f aca="false">IF(E98="",0,IFERROR(INDEX('Gold Registry'!$H$4:$H$103,MATCH(E98,'Gold Registry'!$A$4:$A$103,0)),0))</f>
        <v>0</v>
      </c>
      <c r="G98" s="12" t="str">
        <f aca="false">IF(A98="","",SUMIFS('Black Log'!$F$4:$F$1000,'Black Log'!$B$4:$B$1000,A98))</f>
        <v/>
      </c>
      <c r="H98" s="12" t="str">
        <f aca="false">IF(A98="","",F98+G98)</f>
        <v/>
      </c>
      <c r="I98" s="6"/>
      <c r="J98" s="16"/>
      <c r="K98" s="12" t="str">
        <f aca="false">IF(A98="","","Highest tier — no upgrade")</f>
        <v/>
      </c>
    </row>
    <row r="99" customFormat="false" ht="15" hidden="false" customHeight="false" outlineLevel="0" collapsed="false">
      <c r="A99" s="6"/>
      <c r="B99" s="6"/>
      <c r="C99" s="6"/>
      <c r="D99" s="11"/>
      <c r="E99" s="6"/>
      <c r="F99" s="12" t="n">
        <f aca="false">IF(E99="",0,IFERROR(INDEX('Gold Registry'!$H$4:$H$103,MATCH(E99,'Gold Registry'!$A$4:$A$103,0)),0))</f>
        <v>0</v>
      </c>
      <c r="G99" s="12" t="str">
        <f aca="false">IF(A99="","",SUMIFS('Black Log'!$F$4:$F$1000,'Black Log'!$B$4:$B$1000,A99))</f>
        <v/>
      </c>
      <c r="H99" s="12" t="str">
        <f aca="false">IF(A99="","",F99+G99)</f>
        <v/>
      </c>
      <c r="I99" s="6"/>
      <c r="J99" s="16"/>
      <c r="K99" s="12" t="str">
        <f aca="false">IF(A99="","","Highest tier — no upgrade")</f>
        <v/>
      </c>
    </row>
    <row r="100" customFormat="false" ht="15" hidden="false" customHeight="false" outlineLevel="0" collapsed="false">
      <c r="A100" s="6"/>
      <c r="B100" s="6"/>
      <c r="C100" s="6"/>
      <c r="D100" s="11"/>
      <c r="E100" s="6"/>
      <c r="F100" s="12" t="n">
        <f aca="false">IF(E100="",0,IFERROR(INDEX('Gold Registry'!$H$4:$H$103,MATCH(E100,'Gold Registry'!$A$4:$A$103,0)),0))</f>
        <v>0</v>
      </c>
      <c r="G100" s="12" t="str">
        <f aca="false">IF(A100="","",SUMIFS('Black Log'!$F$4:$F$1000,'Black Log'!$B$4:$B$1000,A100))</f>
        <v/>
      </c>
      <c r="H100" s="12" t="str">
        <f aca="false">IF(A100="","",F100+G100)</f>
        <v/>
      </c>
      <c r="I100" s="6"/>
      <c r="J100" s="16"/>
      <c r="K100" s="12" t="str">
        <f aca="false">IF(A100="","","Highest tier — no upgrade")</f>
        <v/>
      </c>
    </row>
    <row r="101" customFormat="false" ht="15" hidden="false" customHeight="false" outlineLevel="0" collapsed="false">
      <c r="A101" s="6"/>
      <c r="B101" s="6"/>
      <c r="C101" s="6"/>
      <c r="D101" s="11"/>
      <c r="E101" s="6"/>
      <c r="F101" s="12" t="n">
        <f aca="false">IF(E101="",0,IFERROR(INDEX('Gold Registry'!$H$4:$H$103,MATCH(E101,'Gold Registry'!$A$4:$A$103,0)),0))</f>
        <v>0</v>
      </c>
      <c r="G101" s="12" t="str">
        <f aca="false">IF(A101="","",SUMIFS('Black Log'!$F$4:$F$1000,'Black Log'!$B$4:$B$1000,A101))</f>
        <v/>
      </c>
      <c r="H101" s="12" t="str">
        <f aca="false">IF(A101="","",F101+G101)</f>
        <v/>
      </c>
      <c r="I101" s="6"/>
      <c r="J101" s="16"/>
      <c r="K101" s="12" t="str">
        <f aca="false">IF(A101="","","Highest tier — no upgrade")</f>
        <v/>
      </c>
    </row>
    <row r="102" customFormat="false" ht="15" hidden="false" customHeight="false" outlineLevel="0" collapsed="false">
      <c r="A102" s="6"/>
      <c r="B102" s="6"/>
      <c r="C102" s="6"/>
      <c r="D102" s="11"/>
      <c r="E102" s="6"/>
      <c r="F102" s="12" t="n">
        <f aca="false">IF(E102="",0,IFERROR(INDEX('Gold Registry'!$H$4:$H$103,MATCH(E102,'Gold Registry'!$A$4:$A$103,0)),0))</f>
        <v>0</v>
      </c>
      <c r="G102" s="12" t="str">
        <f aca="false">IF(A102="","",SUMIFS('Black Log'!$F$4:$F$1000,'Black Log'!$B$4:$B$1000,A102))</f>
        <v/>
      </c>
      <c r="H102" s="12" t="str">
        <f aca="false">IF(A102="","",F102+G102)</f>
        <v/>
      </c>
      <c r="I102" s="6"/>
      <c r="J102" s="16"/>
      <c r="K102" s="12" t="str">
        <f aca="false">IF(A102="","","Highest tier — no upgrade")</f>
        <v/>
      </c>
    </row>
    <row r="103" customFormat="false" ht="15" hidden="false" customHeight="false" outlineLevel="0" collapsed="false">
      <c r="A103" s="6"/>
      <c r="B103" s="6"/>
      <c r="C103" s="6"/>
      <c r="D103" s="11"/>
      <c r="E103" s="6"/>
      <c r="F103" s="12" t="n">
        <f aca="false">IF(E103="",0,IFERROR(INDEX('Gold Registry'!$H$4:$H$103,MATCH(E103,'Gold Registry'!$A$4:$A$103,0)),0))</f>
        <v>0</v>
      </c>
      <c r="G103" s="12" t="str">
        <f aca="false">IF(A103="","",SUMIFS('Black Log'!$F$4:$F$1000,'Black Log'!$B$4:$B$1000,A103))</f>
        <v/>
      </c>
      <c r="H103" s="12" t="str">
        <f aca="false">IF(A103="","",F103+G103)</f>
        <v/>
      </c>
      <c r="I103" s="6"/>
      <c r="J103" s="16"/>
      <c r="K103" s="12" t="str">
        <f aca="false">IF(A103="","","Highest tier — no upgrade")</f>
        <v/>
      </c>
    </row>
  </sheetData>
  <dataValidations count="2">
    <dataValidation allowBlank="true" errorStyle="stop" operator="between" showDropDown="false" showErrorMessage="false" showInputMessage="false" sqref="I4:I103" type="list">
      <formula1>"Y,N"</formula1>
      <formula2>0</formula2>
    </dataValidation>
    <dataValidation allowBlank="true" errorStyle="stop" operator="between" showDropDown="false" showErrorMessage="false" showInputMessage="false" sqref="J4:J103" type="list">
      <formula1>"Active,Upgraded"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20"/>
    <col collapsed="false" customWidth="true" hidden="false" outlineLevel="0" max="4" min="4" style="0" width="18"/>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9" min="8" style="0" width="15"/>
    <col collapsed="false" customWidth="true" hidden="false" outlineLevel="0" max="10" min="10" style="0" width="16"/>
    <col collapsed="false" customWidth="true" hidden="false" outlineLevel="0" max="11" min="11" style="0" width="15"/>
    <col collapsed="false" customWidth="true" hidden="false" outlineLevel="0" max="12" min="12" style="0" width="22"/>
  </cols>
  <sheetData>
    <row r="1" customFormat="false" ht="17.35" hidden="false" customHeight="false" outlineLevel="0" collapsed="false">
      <c r="A1" s="1" t="s">
        <v>96</v>
      </c>
    </row>
    <row r="2" customFormat="false" ht="15" hidden="false" customHeight="false" outlineLevel="0" collapsed="false">
      <c r="A2" s="2" t="s">
        <v>97</v>
      </c>
    </row>
    <row r="3" customFormat="false" ht="31.5" hidden="false" customHeight="true" outlineLevel="0" collapsed="false">
      <c r="A3" s="18" t="s">
        <v>68</v>
      </c>
      <c r="B3" s="18" t="s">
        <v>53</v>
      </c>
      <c r="C3" s="18" t="s">
        <v>54</v>
      </c>
      <c r="D3" s="18" t="s">
        <v>69</v>
      </c>
      <c r="E3" s="18" t="s">
        <v>32</v>
      </c>
      <c r="F3" s="18" t="s">
        <v>33</v>
      </c>
      <c r="G3" s="18" t="s">
        <v>44</v>
      </c>
      <c r="H3" s="18" t="s">
        <v>70</v>
      </c>
      <c r="I3" s="18" t="s">
        <v>71</v>
      </c>
      <c r="J3" s="18" t="s">
        <v>72</v>
      </c>
      <c r="K3" s="18" t="s">
        <v>73</v>
      </c>
      <c r="L3" s="18" t="s">
        <v>74</v>
      </c>
    </row>
    <row r="4" customFormat="false" ht="15" hidden="false" customHeight="false" outlineLevel="0" collapsed="false">
      <c r="A4" s="11" t="s">
        <v>75</v>
      </c>
      <c r="B4" s="6" t="s">
        <v>94</v>
      </c>
      <c r="C4" s="12" t="str">
        <f aca="false">IF(B4="","",IFERROR(INDEX('Black Registry'!$B$4:$B$103,MATCH(B4,'Black Registry'!$A$4:$A$103,0)),"Not found"))</f>
        <v>Juan Dela Cruz</v>
      </c>
      <c r="D4" s="6" t="s">
        <v>37</v>
      </c>
      <c r="E4" s="13" t="n">
        <f aca="false">IF(D4="","",IFERROR(INDEX('Reference Tables'!$B$3:$B$8,MATCH(D4,'Reference Tables'!$A$3:$A$8,0)),"Invalid package"))</f>
        <v>100</v>
      </c>
      <c r="F4" s="12" t="n">
        <f aca="false">IF(D4="","",IFERROR(INDEX('Reference Tables'!$C$3:$C$8,MATCH(D4,'Reference Tables'!$A$3:$A$8,0)),"Invalid package"))</f>
        <v>10</v>
      </c>
      <c r="G4" s="14" t="n">
        <f aca="false">IF(E4="","",'Reference Tables'!$C$16)</f>
        <v>0.15</v>
      </c>
      <c r="H4" s="12" t="str">
        <f aca="false">IF(E4="","",IF(E4&gt;=150,"Yes","No"))</f>
        <v>No</v>
      </c>
      <c r="I4" s="13" t="n">
        <f aca="false">IF(E4="","",IF(H4="Yes",E4*G4,0))</f>
        <v>0</v>
      </c>
      <c r="J4" s="13" t="n">
        <f aca="false">IF(E4="","",E4-I4)</f>
        <v>100</v>
      </c>
      <c r="K4" s="6" t="s">
        <v>76</v>
      </c>
      <c r="L4" s="6" t="s">
        <v>77</v>
      </c>
    </row>
    <row r="5" customFormat="false" ht="15" hidden="false" customHeight="false" outlineLevel="0" collapsed="false">
      <c r="A5" s="11"/>
      <c r="B5" s="6"/>
      <c r="C5" s="12" t="str">
        <f aca="false">IF(B5="","",IFERROR(INDEX('Black Registry'!$B$4:$B$103,MATCH(B5,'Black Registry'!$A$4:$A$103,0)),"Not found"))</f>
        <v/>
      </c>
      <c r="D5" s="6"/>
      <c r="E5" s="13" t="str">
        <f aca="false">IF(D5="","",IFERROR(INDEX('Reference Tables'!$B$3:$B$8,MATCH(D5,'Reference Tables'!$A$3:$A$8,0)),"Invalid package"))</f>
        <v/>
      </c>
      <c r="F5" s="12" t="str">
        <f aca="false">IF(D5="","",IFERROR(INDEX('Reference Tables'!$C$3:$C$8,MATCH(D5,'Reference Tables'!$A$3:$A$8,0)),"Invalid package"))</f>
        <v/>
      </c>
      <c r="G5" s="14" t="str">
        <f aca="false">IF(E5="","",'Reference Tables'!$C$16)</f>
        <v/>
      </c>
      <c r="H5" s="12" t="str">
        <f aca="false">IF(E5="","",IF(E5&gt;=150,"Yes","No"))</f>
        <v/>
      </c>
      <c r="I5" s="13" t="str">
        <f aca="false">IF(E5="","",IF(H5="Yes",E5*G5,0))</f>
        <v/>
      </c>
      <c r="J5" s="13" t="str">
        <f aca="false">IF(E5="","",E5-I5)</f>
        <v/>
      </c>
      <c r="K5" s="6"/>
      <c r="L5" s="6"/>
    </row>
    <row r="6" customFormat="false" ht="15" hidden="false" customHeight="false" outlineLevel="0" collapsed="false">
      <c r="A6" s="11"/>
      <c r="B6" s="6"/>
      <c r="C6" s="12" t="str">
        <f aca="false">IF(B6="","",IFERROR(INDEX('Black Registry'!$B$4:$B$103,MATCH(B6,'Black Registry'!$A$4:$A$103,0)),"Not found"))</f>
        <v/>
      </c>
      <c r="D6" s="6"/>
      <c r="E6" s="13" t="str">
        <f aca="false">IF(D6="","",IFERROR(INDEX('Reference Tables'!$B$3:$B$8,MATCH(D6,'Reference Tables'!$A$3:$A$8,0)),"Invalid package"))</f>
        <v/>
      </c>
      <c r="F6" s="12" t="str">
        <f aca="false">IF(D6="","",IFERROR(INDEX('Reference Tables'!$C$3:$C$8,MATCH(D6,'Reference Tables'!$A$3:$A$8,0)),"Invalid package"))</f>
        <v/>
      </c>
      <c r="G6" s="14" t="str">
        <f aca="false">IF(E6="","",'Reference Tables'!$C$16)</f>
        <v/>
      </c>
      <c r="H6" s="12" t="str">
        <f aca="false">IF(E6="","",IF(E6&gt;=150,"Yes","No"))</f>
        <v/>
      </c>
      <c r="I6" s="13" t="str">
        <f aca="false">IF(E6="","",IF(H6="Yes",E6*G6,0))</f>
        <v/>
      </c>
      <c r="J6" s="13" t="str">
        <f aca="false">IF(E6="","",E6-I6)</f>
        <v/>
      </c>
      <c r="K6" s="6"/>
      <c r="L6" s="6"/>
    </row>
    <row r="7" customFormat="false" ht="15" hidden="false" customHeight="false" outlineLevel="0" collapsed="false">
      <c r="A7" s="11"/>
      <c r="B7" s="6"/>
      <c r="C7" s="12" t="str">
        <f aca="false">IF(B7="","",IFERROR(INDEX('Black Registry'!$B$4:$B$103,MATCH(B7,'Black Registry'!$A$4:$A$103,0)),"Not found"))</f>
        <v/>
      </c>
      <c r="D7" s="6"/>
      <c r="E7" s="13" t="str">
        <f aca="false">IF(D7="","",IFERROR(INDEX('Reference Tables'!$B$3:$B$8,MATCH(D7,'Reference Tables'!$A$3:$A$8,0)),"Invalid package"))</f>
        <v/>
      </c>
      <c r="F7" s="12" t="str">
        <f aca="false">IF(D7="","",IFERROR(INDEX('Reference Tables'!$C$3:$C$8,MATCH(D7,'Reference Tables'!$A$3:$A$8,0)),"Invalid package"))</f>
        <v/>
      </c>
      <c r="G7" s="14" t="str">
        <f aca="false">IF(E7="","",'Reference Tables'!$C$16)</f>
        <v/>
      </c>
      <c r="H7" s="12" t="str">
        <f aca="false">IF(E7="","",IF(E7&gt;=150,"Yes","No"))</f>
        <v/>
      </c>
      <c r="I7" s="13" t="str">
        <f aca="false">IF(E7="","",IF(H7="Yes",E7*G7,0))</f>
        <v/>
      </c>
      <c r="J7" s="13" t="str">
        <f aca="false">IF(E7="","",E7-I7)</f>
        <v/>
      </c>
      <c r="K7" s="6"/>
      <c r="L7" s="6"/>
    </row>
    <row r="8" customFormat="false" ht="15" hidden="false" customHeight="false" outlineLevel="0" collapsed="false">
      <c r="A8" s="11"/>
      <c r="B8" s="6"/>
      <c r="C8" s="12" t="str">
        <f aca="false">IF(B8="","",IFERROR(INDEX('Black Registry'!$B$4:$B$103,MATCH(B8,'Black Registry'!$A$4:$A$103,0)),"Not found"))</f>
        <v/>
      </c>
      <c r="D8" s="6"/>
      <c r="E8" s="13" t="str">
        <f aca="false">IF(D8="","",IFERROR(INDEX('Reference Tables'!$B$3:$B$8,MATCH(D8,'Reference Tables'!$A$3:$A$8,0)),"Invalid package"))</f>
        <v/>
      </c>
      <c r="F8" s="12" t="str">
        <f aca="false">IF(D8="","",IFERROR(INDEX('Reference Tables'!$C$3:$C$8,MATCH(D8,'Reference Tables'!$A$3:$A$8,0)),"Invalid package"))</f>
        <v/>
      </c>
      <c r="G8" s="14" t="str">
        <f aca="false">IF(E8="","",'Reference Tables'!$C$16)</f>
        <v/>
      </c>
      <c r="H8" s="12" t="str">
        <f aca="false">IF(E8="","",IF(E8&gt;=150,"Yes","No"))</f>
        <v/>
      </c>
      <c r="I8" s="13" t="str">
        <f aca="false">IF(E8="","",IF(H8="Yes",E8*G8,0))</f>
        <v/>
      </c>
      <c r="J8" s="13" t="str">
        <f aca="false">IF(E8="","",E8-I8)</f>
        <v/>
      </c>
      <c r="K8" s="6"/>
      <c r="L8" s="6"/>
    </row>
    <row r="9" customFormat="false" ht="15" hidden="false" customHeight="false" outlineLevel="0" collapsed="false">
      <c r="A9" s="11"/>
      <c r="B9" s="6"/>
      <c r="C9" s="12" t="str">
        <f aca="false">IF(B9="","",IFERROR(INDEX('Black Registry'!$B$4:$B$103,MATCH(B9,'Black Registry'!$A$4:$A$103,0)),"Not found"))</f>
        <v/>
      </c>
      <c r="D9" s="6"/>
      <c r="E9" s="13" t="str">
        <f aca="false">IF(D9="","",IFERROR(INDEX('Reference Tables'!$B$3:$B$8,MATCH(D9,'Reference Tables'!$A$3:$A$8,0)),"Invalid package"))</f>
        <v/>
      </c>
      <c r="F9" s="12" t="str">
        <f aca="false">IF(D9="","",IFERROR(INDEX('Reference Tables'!$C$3:$C$8,MATCH(D9,'Reference Tables'!$A$3:$A$8,0)),"Invalid package"))</f>
        <v/>
      </c>
      <c r="G9" s="14" t="str">
        <f aca="false">IF(E9="","",'Reference Tables'!$C$16)</f>
        <v/>
      </c>
      <c r="H9" s="12" t="str">
        <f aca="false">IF(E9="","",IF(E9&gt;=150,"Yes","No"))</f>
        <v/>
      </c>
      <c r="I9" s="13" t="str">
        <f aca="false">IF(E9="","",IF(H9="Yes",E9*G9,0))</f>
        <v/>
      </c>
      <c r="J9" s="13" t="str">
        <f aca="false">IF(E9="","",E9-I9)</f>
        <v/>
      </c>
      <c r="K9" s="6"/>
      <c r="L9" s="6"/>
    </row>
    <row r="10" customFormat="false" ht="15" hidden="false" customHeight="false" outlineLevel="0" collapsed="false">
      <c r="A10" s="11"/>
      <c r="B10" s="6"/>
      <c r="C10" s="12" t="str">
        <f aca="false">IF(B10="","",IFERROR(INDEX('Black Registry'!$B$4:$B$103,MATCH(B10,'Black Registry'!$A$4:$A$103,0)),"Not found"))</f>
        <v/>
      </c>
      <c r="D10" s="6"/>
      <c r="E10" s="13" t="str">
        <f aca="false">IF(D10="","",IFERROR(INDEX('Reference Tables'!$B$3:$B$8,MATCH(D10,'Reference Tables'!$A$3:$A$8,0)),"Invalid package"))</f>
        <v/>
      </c>
      <c r="F10" s="12" t="str">
        <f aca="false">IF(D10="","",IFERROR(INDEX('Reference Tables'!$C$3:$C$8,MATCH(D10,'Reference Tables'!$A$3:$A$8,0)),"Invalid package"))</f>
        <v/>
      </c>
      <c r="G10" s="14" t="str">
        <f aca="false">IF(E10="","",'Reference Tables'!$C$16)</f>
        <v/>
      </c>
      <c r="H10" s="12" t="str">
        <f aca="false">IF(E10="","",IF(E10&gt;=150,"Yes","No"))</f>
        <v/>
      </c>
      <c r="I10" s="13" t="str">
        <f aca="false">IF(E10="","",IF(H10="Yes",E10*G10,0))</f>
        <v/>
      </c>
      <c r="J10" s="13" t="str">
        <f aca="false">IF(E10="","",E10-I10)</f>
        <v/>
      </c>
      <c r="K10" s="6"/>
      <c r="L10" s="6"/>
    </row>
    <row r="11" customFormat="false" ht="15" hidden="false" customHeight="false" outlineLevel="0" collapsed="false">
      <c r="A11" s="11"/>
      <c r="B11" s="6"/>
      <c r="C11" s="12" t="str">
        <f aca="false">IF(B11="","",IFERROR(INDEX('Black Registry'!$B$4:$B$103,MATCH(B11,'Black Registry'!$A$4:$A$103,0)),"Not found"))</f>
        <v/>
      </c>
      <c r="D11" s="6"/>
      <c r="E11" s="13" t="str">
        <f aca="false">IF(D11="","",IFERROR(INDEX('Reference Tables'!$B$3:$B$8,MATCH(D11,'Reference Tables'!$A$3:$A$8,0)),"Invalid package"))</f>
        <v/>
      </c>
      <c r="F11" s="12" t="str">
        <f aca="false">IF(D11="","",IFERROR(INDEX('Reference Tables'!$C$3:$C$8,MATCH(D11,'Reference Tables'!$A$3:$A$8,0)),"Invalid package"))</f>
        <v/>
      </c>
      <c r="G11" s="14" t="str">
        <f aca="false">IF(E11="","",'Reference Tables'!$C$16)</f>
        <v/>
      </c>
      <c r="H11" s="12" t="str">
        <f aca="false">IF(E11="","",IF(E11&gt;=150,"Yes","No"))</f>
        <v/>
      </c>
      <c r="I11" s="13" t="str">
        <f aca="false">IF(E11="","",IF(H11="Yes",E11*G11,0))</f>
        <v/>
      </c>
      <c r="J11" s="13" t="str">
        <f aca="false">IF(E11="","",E11-I11)</f>
        <v/>
      </c>
      <c r="K11" s="6"/>
      <c r="L11" s="6"/>
    </row>
    <row r="12" customFormat="false" ht="15" hidden="false" customHeight="false" outlineLevel="0" collapsed="false">
      <c r="A12" s="11"/>
      <c r="B12" s="6"/>
      <c r="C12" s="12" t="str">
        <f aca="false">IF(B12="","",IFERROR(INDEX('Black Registry'!$B$4:$B$103,MATCH(B12,'Black Registry'!$A$4:$A$103,0)),"Not found"))</f>
        <v/>
      </c>
      <c r="D12" s="6"/>
      <c r="E12" s="13" t="str">
        <f aca="false">IF(D12="","",IFERROR(INDEX('Reference Tables'!$B$3:$B$8,MATCH(D12,'Reference Tables'!$A$3:$A$8,0)),"Invalid package"))</f>
        <v/>
      </c>
      <c r="F12" s="12" t="str">
        <f aca="false">IF(D12="","",IFERROR(INDEX('Reference Tables'!$C$3:$C$8,MATCH(D12,'Reference Tables'!$A$3:$A$8,0)),"Invalid package"))</f>
        <v/>
      </c>
      <c r="G12" s="14" t="str">
        <f aca="false">IF(E12="","",'Reference Tables'!$C$16)</f>
        <v/>
      </c>
      <c r="H12" s="12" t="str">
        <f aca="false">IF(E12="","",IF(E12&gt;=150,"Yes","No"))</f>
        <v/>
      </c>
      <c r="I12" s="13" t="str">
        <f aca="false">IF(E12="","",IF(H12="Yes",E12*G12,0))</f>
        <v/>
      </c>
      <c r="J12" s="13" t="str">
        <f aca="false">IF(E12="","",E12-I12)</f>
        <v/>
      </c>
      <c r="K12" s="6"/>
      <c r="L12" s="6"/>
    </row>
    <row r="13" customFormat="false" ht="15" hidden="false" customHeight="false" outlineLevel="0" collapsed="false">
      <c r="A13" s="11"/>
      <c r="B13" s="6"/>
      <c r="C13" s="12" t="str">
        <f aca="false">IF(B13="","",IFERROR(INDEX('Black Registry'!$B$4:$B$103,MATCH(B13,'Black Registry'!$A$4:$A$103,0)),"Not found"))</f>
        <v/>
      </c>
      <c r="D13" s="6"/>
      <c r="E13" s="13" t="str">
        <f aca="false">IF(D13="","",IFERROR(INDEX('Reference Tables'!$B$3:$B$8,MATCH(D13,'Reference Tables'!$A$3:$A$8,0)),"Invalid package"))</f>
        <v/>
      </c>
      <c r="F13" s="12" t="str">
        <f aca="false">IF(D13="","",IFERROR(INDEX('Reference Tables'!$C$3:$C$8,MATCH(D13,'Reference Tables'!$A$3:$A$8,0)),"Invalid package"))</f>
        <v/>
      </c>
      <c r="G13" s="14" t="str">
        <f aca="false">IF(E13="","",'Reference Tables'!$C$16)</f>
        <v/>
      </c>
      <c r="H13" s="12" t="str">
        <f aca="false">IF(E13="","",IF(E13&gt;=150,"Yes","No"))</f>
        <v/>
      </c>
      <c r="I13" s="13" t="str">
        <f aca="false">IF(E13="","",IF(H13="Yes",E13*G13,0))</f>
        <v/>
      </c>
      <c r="J13" s="13" t="str">
        <f aca="false">IF(E13="","",E13-I13)</f>
        <v/>
      </c>
      <c r="K13" s="6"/>
      <c r="L13" s="6"/>
    </row>
    <row r="14" customFormat="false" ht="15" hidden="false" customHeight="false" outlineLevel="0" collapsed="false">
      <c r="A14" s="11"/>
      <c r="B14" s="6"/>
      <c r="C14" s="12" t="str">
        <f aca="false">IF(B14="","",IFERROR(INDEX('Black Registry'!$B$4:$B$103,MATCH(B14,'Black Registry'!$A$4:$A$103,0)),"Not found"))</f>
        <v/>
      </c>
      <c r="D14" s="6"/>
      <c r="E14" s="13" t="str">
        <f aca="false">IF(D14="","",IFERROR(INDEX('Reference Tables'!$B$3:$B$8,MATCH(D14,'Reference Tables'!$A$3:$A$8,0)),"Invalid package"))</f>
        <v/>
      </c>
      <c r="F14" s="12" t="str">
        <f aca="false">IF(D14="","",IFERROR(INDEX('Reference Tables'!$C$3:$C$8,MATCH(D14,'Reference Tables'!$A$3:$A$8,0)),"Invalid package"))</f>
        <v/>
      </c>
      <c r="G14" s="14" t="str">
        <f aca="false">IF(E14="","",'Reference Tables'!$C$16)</f>
        <v/>
      </c>
      <c r="H14" s="12" t="str">
        <f aca="false">IF(E14="","",IF(E14&gt;=150,"Yes","No"))</f>
        <v/>
      </c>
      <c r="I14" s="13" t="str">
        <f aca="false">IF(E14="","",IF(H14="Yes",E14*G14,0))</f>
        <v/>
      </c>
      <c r="J14" s="13" t="str">
        <f aca="false">IF(E14="","",E14-I14)</f>
        <v/>
      </c>
      <c r="K14" s="6"/>
      <c r="L14" s="6"/>
    </row>
    <row r="15" customFormat="false" ht="15" hidden="false" customHeight="false" outlineLevel="0" collapsed="false">
      <c r="A15" s="11"/>
      <c r="B15" s="6"/>
      <c r="C15" s="12" t="str">
        <f aca="false">IF(B15="","",IFERROR(INDEX('Black Registry'!$B$4:$B$103,MATCH(B15,'Black Registry'!$A$4:$A$103,0)),"Not found"))</f>
        <v/>
      </c>
      <c r="D15" s="6"/>
      <c r="E15" s="13" t="str">
        <f aca="false">IF(D15="","",IFERROR(INDEX('Reference Tables'!$B$3:$B$8,MATCH(D15,'Reference Tables'!$A$3:$A$8,0)),"Invalid package"))</f>
        <v/>
      </c>
      <c r="F15" s="12" t="str">
        <f aca="false">IF(D15="","",IFERROR(INDEX('Reference Tables'!$C$3:$C$8,MATCH(D15,'Reference Tables'!$A$3:$A$8,0)),"Invalid package"))</f>
        <v/>
      </c>
      <c r="G15" s="14" t="str">
        <f aca="false">IF(E15="","",'Reference Tables'!$C$16)</f>
        <v/>
      </c>
      <c r="H15" s="12" t="str">
        <f aca="false">IF(E15="","",IF(E15&gt;=150,"Yes","No"))</f>
        <v/>
      </c>
      <c r="I15" s="13" t="str">
        <f aca="false">IF(E15="","",IF(H15="Yes",E15*G15,0))</f>
        <v/>
      </c>
      <c r="J15" s="13" t="str">
        <f aca="false">IF(E15="","",E15-I15)</f>
        <v/>
      </c>
      <c r="K15" s="6"/>
      <c r="L15" s="6"/>
    </row>
    <row r="16" customFormat="false" ht="15" hidden="false" customHeight="false" outlineLevel="0" collapsed="false">
      <c r="A16" s="11"/>
      <c r="B16" s="6"/>
      <c r="C16" s="12" t="str">
        <f aca="false">IF(B16="","",IFERROR(INDEX('Black Registry'!$B$4:$B$103,MATCH(B16,'Black Registry'!$A$4:$A$103,0)),"Not found"))</f>
        <v/>
      </c>
      <c r="D16" s="6"/>
      <c r="E16" s="13" t="str">
        <f aca="false">IF(D16="","",IFERROR(INDEX('Reference Tables'!$B$3:$B$8,MATCH(D16,'Reference Tables'!$A$3:$A$8,0)),"Invalid package"))</f>
        <v/>
      </c>
      <c r="F16" s="12" t="str">
        <f aca="false">IF(D16="","",IFERROR(INDEX('Reference Tables'!$C$3:$C$8,MATCH(D16,'Reference Tables'!$A$3:$A$8,0)),"Invalid package"))</f>
        <v/>
      </c>
      <c r="G16" s="14" t="str">
        <f aca="false">IF(E16="","",'Reference Tables'!$C$16)</f>
        <v/>
      </c>
      <c r="H16" s="12" t="str">
        <f aca="false">IF(E16="","",IF(E16&gt;=150,"Yes","No"))</f>
        <v/>
      </c>
      <c r="I16" s="13" t="str">
        <f aca="false">IF(E16="","",IF(H16="Yes",E16*G16,0))</f>
        <v/>
      </c>
      <c r="J16" s="13" t="str">
        <f aca="false">IF(E16="","",E16-I16)</f>
        <v/>
      </c>
      <c r="K16" s="6"/>
      <c r="L16" s="6"/>
    </row>
    <row r="17" customFormat="false" ht="15" hidden="false" customHeight="false" outlineLevel="0" collapsed="false">
      <c r="A17" s="11"/>
      <c r="B17" s="6"/>
      <c r="C17" s="12" t="str">
        <f aca="false">IF(B17="","",IFERROR(INDEX('Black Registry'!$B$4:$B$103,MATCH(B17,'Black Registry'!$A$4:$A$103,0)),"Not found"))</f>
        <v/>
      </c>
      <c r="D17" s="6"/>
      <c r="E17" s="13" t="str">
        <f aca="false">IF(D17="","",IFERROR(INDEX('Reference Tables'!$B$3:$B$8,MATCH(D17,'Reference Tables'!$A$3:$A$8,0)),"Invalid package"))</f>
        <v/>
      </c>
      <c r="F17" s="12" t="str">
        <f aca="false">IF(D17="","",IFERROR(INDEX('Reference Tables'!$C$3:$C$8,MATCH(D17,'Reference Tables'!$A$3:$A$8,0)),"Invalid package"))</f>
        <v/>
      </c>
      <c r="G17" s="14" t="str">
        <f aca="false">IF(E17="","",'Reference Tables'!$C$16)</f>
        <v/>
      </c>
      <c r="H17" s="12" t="str">
        <f aca="false">IF(E17="","",IF(E17&gt;=150,"Yes","No"))</f>
        <v/>
      </c>
      <c r="I17" s="13" t="str">
        <f aca="false">IF(E17="","",IF(H17="Yes",E17*G17,0))</f>
        <v/>
      </c>
      <c r="J17" s="13" t="str">
        <f aca="false">IF(E17="","",E17-I17)</f>
        <v/>
      </c>
      <c r="K17" s="6"/>
      <c r="L17" s="6"/>
    </row>
    <row r="18" customFormat="false" ht="15" hidden="false" customHeight="false" outlineLevel="0" collapsed="false">
      <c r="A18" s="11"/>
      <c r="B18" s="6"/>
      <c r="C18" s="12" t="str">
        <f aca="false">IF(B18="","",IFERROR(INDEX('Black Registry'!$B$4:$B$103,MATCH(B18,'Black Registry'!$A$4:$A$103,0)),"Not found"))</f>
        <v/>
      </c>
      <c r="D18" s="6"/>
      <c r="E18" s="13" t="str">
        <f aca="false">IF(D18="","",IFERROR(INDEX('Reference Tables'!$B$3:$B$8,MATCH(D18,'Reference Tables'!$A$3:$A$8,0)),"Invalid package"))</f>
        <v/>
      </c>
      <c r="F18" s="12" t="str">
        <f aca="false">IF(D18="","",IFERROR(INDEX('Reference Tables'!$C$3:$C$8,MATCH(D18,'Reference Tables'!$A$3:$A$8,0)),"Invalid package"))</f>
        <v/>
      </c>
      <c r="G18" s="14" t="str">
        <f aca="false">IF(E18="","",'Reference Tables'!$C$16)</f>
        <v/>
      </c>
      <c r="H18" s="12" t="str">
        <f aca="false">IF(E18="","",IF(E18&gt;=150,"Yes","No"))</f>
        <v/>
      </c>
      <c r="I18" s="13" t="str">
        <f aca="false">IF(E18="","",IF(H18="Yes",E18*G18,0))</f>
        <v/>
      </c>
      <c r="J18" s="13" t="str">
        <f aca="false">IF(E18="","",E18-I18)</f>
        <v/>
      </c>
      <c r="K18" s="6"/>
      <c r="L18" s="6"/>
    </row>
    <row r="19" customFormat="false" ht="15" hidden="false" customHeight="false" outlineLevel="0" collapsed="false">
      <c r="A19" s="11"/>
      <c r="B19" s="6"/>
      <c r="C19" s="12" t="str">
        <f aca="false">IF(B19="","",IFERROR(INDEX('Black Registry'!$B$4:$B$103,MATCH(B19,'Black Registry'!$A$4:$A$103,0)),"Not found"))</f>
        <v/>
      </c>
      <c r="D19" s="6"/>
      <c r="E19" s="13" t="str">
        <f aca="false">IF(D19="","",IFERROR(INDEX('Reference Tables'!$B$3:$B$8,MATCH(D19,'Reference Tables'!$A$3:$A$8,0)),"Invalid package"))</f>
        <v/>
      </c>
      <c r="F19" s="12" t="str">
        <f aca="false">IF(D19="","",IFERROR(INDEX('Reference Tables'!$C$3:$C$8,MATCH(D19,'Reference Tables'!$A$3:$A$8,0)),"Invalid package"))</f>
        <v/>
      </c>
      <c r="G19" s="14" t="str">
        <f aca="false">IF(E19="","",'Reference Tables'!$C$16)</f>
        <v/>
      </c>
      <c r="H19" s="12" t="str">
        <f aca="false">IF(E19="","",IF(E19&gt;=150,"Yes","No"))</f>
        <v/>
      </c>
      <c r="I19" s="13" t="str">
        <f aca="false">IF(E19="","",IF(H19="Yes",E19*G19,0))</f>
        <v/>
      </c>
      <c r="J19" s="13" t="str">
        <f aca="false">IF(E19="","",E19-I19)</f>
        <v/>
      </c>
      <c r="K19" s="6"/>
      <c r="L19" s="6"/>
    </row>
    <row r="20" customFormat="false" ht="15" hidden="false" customHeight="false" outlineLevel="0" collapsed="false">
      <c r="A20" s="11"/>
      <c r="B20" s="6"/>
      <c r="C20" s="12" t="str">
        <f aca="false">IF(B20="","",IFERROR(INDEX('Black Registry'!$B$4:$B$103,MATCH(B20,'Black Registry'!$A$4:$A$103,0)),"Not found"))</f>
        <v/>
      </c>
      <c r="D20" s="6"/>
      <c r="E20" s="13" t="str">
        <f aca="false">IF(D20="","",IFERROR(INDEX('Reference Tables'!$B$3:$B$8,MATCH(D20,'Reference Tables'!$A$3:$A$8,0)),"Invalid package"))</f>
        <v/>
      </c>
      <c r="F20" s="12" t="str">
        <f aca="false">IF(D20="","",IFERROR(INDEX('Reference Tables'!$C$3:$C$8,MATCH(D20,'Reference Tables'!$A$3:$A$8,0)),"Invalid package"))</f>
        <v/>
      </c>
      <c r="G20" s="14" t="str">
        <f aca="false">IF(E20="","",'Reference Tables'!$C$16)</f>
        <v/>
      </c>
      <c r="H20" s="12" t="str">
        <f aca="false">IF(E20="","",IF(E20&gt;=150,"Yes","No"))</f>
        <v/>
      </c>
      <c r="I20" s="13" t="str">
        <f aca="false">IF(E20="","",IF(H20="Yes",E20*G20,0))</f>
        <v/>
      </c>
      <c r="J20" s="13" t="str">
        <f aca="false">IF(E20="","",E20-I20)</f>
        <v/>
      </c>
      <c r="K20" s="6"/>
      <c r="L20" s="6"/>
    </row>
    <row r="21" customFormat="false" ht="15" hidden="false" customHeight="false" outlineLevel="0" collapsed="false">
      <c r="A21" s="11"/>
      <c r="B21" s="6"/>
      <c r="C21" s="12" t="str">
        <f aca="false">IF(B21="","",IFERROR(INDEX('Black Registry'!$B$4:$B$103,MATCH(B21,'Black Registry'!$A$4:$A$103,0)),"Not found"))</f>
        <v/>
      </c>
      <c r="D21" s="6"/>
      <c r="E21" s="13" t="str">
        <f aca="false">IF(D21="","",IFERROR(INDEX('Reference Tables'!$B$3:$B$8,MATCH(D21,'Reference Tables'!$A$3:$A$8,0)),"Invalid package"))</f>
        <v/>
      </c>
      <c r="F21" s="12" t="str">
        <f aca="false">IF(D21="","",IFERROR(INDEX('Reference Tables'!$C$3:$C$8,MATCH(D21,'Reference Tables'!$A$3:$A$8,0)),"Invalid package"))</f>
        <v/>
      </c>
      <c r="G21" s="14" t="str">
        <f aca="false">IF(E21="","",'Reference Tables'!$C$16)</f>
        <v/>
      </c>
      <c r="H21" s="12" t="str">
        <f aca="false">IF(E21="","",IF(E21&gt;=150,"Yes","No"))</f>
        <v/>
      </c>
      <c r="I21" s="13" t="str">
        <f aca="false">IF(E21="","",IF(H21="Yes",E21*G21,0))</f>
        <v/>
      </c>
      <c r="J21" s="13" t="str">
        <f aca="false">IF(E21="","",E21-I21)</f>
        <v/>
      </c>
      <c r="K21" s="6"/>
      <c r="L21" s="6"/>
    </row>
    <row r="22" customFormat="false" ht="15" hidden="false" customHeight="false" outlineLevel="0" collapsed="false">
      <c r="A22" s="11"/>
      <c r="B22" s="6"/>
      <c r="C22" s="12" t="str">
        <f aca="false">IF(B22="","",IFERROR(INDEX('Black Registry'!$B$4:$B$103,MATCH(B22,'Black Registry'!$A$4:$A$103,0)),"Not found"))</f>
        <v/>
      </c>
      <c r="D22" s="6"/>
      <c r="E22" s="13" t="str">
        <f aca="false">IF(D22="","",IFERROR(INDEX('Reference Tables'!$B$3:$B$8,MATCH(D22,'Reference Tables'!$A$3:$A$8,0)),"Invalid package"))</f>
        <v/>
      </c>
      <c r="F22" s="12" t="str">
        <f aca="false">IF(D22="","",IFERROR(INDEX('Reference Tables'!$C$3:$C$8,MATCH(D22,'Reference Tables'!$A$3:$A$8,0)),"Invalid package"))</f>
        <v/>
      </c>
      <c r="G22" s="14" t="str">
        <f aca="false">IF(E22="","",'Reference Tables'!$C$16)</f>
        <v/>
      </c>
      <c r="H22" s="12" t="str">
        <f aca="false">IF(E22="","",IF(E22&gt;=150,"Yes","No"))</f>
        <v/>
      </c>
      <c r="I22" s="13" t="str">
        <f aca="false">IF(E22="","",IF(H22="Yes",E22*G22,0))</f>
        <v/>
      </c>
      <c r="J22" s="13" t="str">
        <f aca="false">IF(E22="","",E22-I22)</f>
        <v/>
      </c>
      <c r="K22" s="6"/>
      <c r="L22" s="6"/>
    </row>
    <row r="23" customFormat="false" ht="15" hidden="false" customHeight="false" outlineLevel="0" collapsed="false">
      <c r="A23" s="11"/>
      <c r="B23" s="6"/>
      <c r="C23" s="12" t="str">
        <f aca="false">IF(B23="","",IFERROR(INDEX('Black Registry'!$B$4:$B$103,MATCH(B23,'Black Registry'!$A$4:$A$103,0)),"Not found"))</f>
        <v/>
      </c>
      <c r="D23" s="6"/>
      <c r="E23" s="13" t="str">
        <f aca="false">IF(D23="","",IFERROR(INDEX('Reference Tables'!$B$3:$B$8,MATCH(D23,'Reference Tables'!$A$3:$A$8,0)),"Invalid package"))</f>
        <v/>
      </c>
      <c r="F23" s="12" t="str">
        <f aca="false">IF(D23="","",IFERROR(INDEX('Reference Tables'!$C$3:$C$8,MATCH(D23,'Reference Tables'!$A$3:$A$8,0)),"Invalid package"))</f>
        <v/>
      </c>
      <c r="G23" s="14" t="str">
        <f aca="false">IF(E23="","",'Reference Tables'!$C$16)</f>
        <v/>
      </c>
      <c r="H23" s="12" t="str">
        <f aca="false">IF(E23="","",IF(E23&gt;=150,"Yes","No"))</f>
        <v/>
      </c>
      <c r="I23" s="13" t="str">
        <f aca="false">IF(E23="","",IF(H23="Yes",E23*G23,0))</f>
        <v/>
      </c>
      <c r="J23" s="13" t="str">
        <f aca="false">IF(E23="","",E23-I23)</f>
        <v/>
      </c>
      <c r="K23" s="6"/>
      <c r="L23" s="6"/>
    </row>
    <row r="24" customFormat="false" ht="15" hidden="false" customHeight="false" outlineLevel="0" collapsed="false">
      <c r="A24" s="11"/>
      <c r="B24" s="6"/>
      <c r="C24" s="12" t="str">
        <f aca="false">IF(B24="","",IFERROR(INDEX('Black Registry'!$B$4:$B$103,MATCH(B24,'Black Registry'!$A$4:$A$103,0)),"Not found"))</f>
        <v/>
      </c>
      <c r="D24" s="6"/>
      <c r="E24" s="13" t="str">
        <f aca="false">IF(D24="","",IFERROR(INDEX('Reference Tables'!$B$3:$B$8,MATCH(D24,'Reference Tables'!$A$3:$A$8,0)),"Invalid package"))</f>
        <v/>
      </c>
      <c r="F24" s="12" t="str">
        <f aca="false">IF(D24="","",IFERROR(INDEX('Reference Tables'!$C$3:$C$8,MATCH(D24,'Reference Tables'!$A$3:$A$8,0)),"Invalid package"))</f>
        <v/>
      </c>
      <c r="G24" s="14" t="str">
        <f aca="false">IF(E24="","",'Reference Tables'!$C$16)</f>
        <v/>
      </c>
      <c r="H24" s="12" t="str">
        <f aca="false">IF(E24="","",IF(E24&gt;=150,"Yes","No"))</f>
        <v/>
      </c>
      <c r="I24" s="13" t="str">
        <f aca="false">IF(E24="","",IF(H24="Yes",E24*G24,0))</f>
        <v/>
      </c>
      <c r="J24" s="13" t="str">
        <f aca="false">IF(E24="","",E24-I24)</f>
        <v/>
      </c>
      <c r="K24" s="6"/>
      <c r="L24" s="6"/>
    </row>
    <row r="25" customFormat="false" ht="15" hidden="false" customHeight="false" outlineLevel="0" collapsed="false">
      <c r="A25" s="11"/>
      <c r="B25" s="6"/>
      <c r="C25" s="12" t="str">
        <f aca="false">IF(B25="","",IFERROR(INDEX('Black Registry'!$B$4:$B$103,MATCH(B25,'Black Registry'!$A$4:$A$103,0)),"Not found"))</f>
        <v/>
      </c>
      <c r="D25" s="6"/>
      <c r="E25" s="13" t="str">
        <f aca="false">IF(D25="","",IFERROR(INDEX('Reference Tables'!$B$3:$B$8,MATCH(D25,'Reference Tables'!$A$3:$A$8,0)),"Invalid package"))</f>
        <v/>
      </c>
      <c r="F25" s="12" t="str">
        <f aca="false">IF(D25="","",IFERROR(INDEX('Reference Tables'!$C$3:$C$8,MATCH(D25,'Reference Tables'!$A$3:$A$8,0)),"Invalid package"))</f>
        <v/>
      </c>
      <c r="G25" s="14" t="str">
        <f aca="false">IF(E25="","",'Reference Tables'!$C$16)</f>
        <v/>
      </c>
      <c r="H25" s="12" t="str">
        <f aca="false">IF(E25="","",IF(E25&gt;=150,"Yes","No"))</f>
        <v/>
      </c>
      <c r="I25" s="13" t="str">
        <f aca="false">IF(E25="","",IF(H25="Yes",E25*G25,0))</f>
        <v/>
      </c>
      <c r="J25" s="13" t="str">
        <f aca="false">IF(E25="","",E25-I25)</f>
        <v/>
      </c>
      <c r="K25" s="6"/>
      <c r="L25" s="6"/>
    </row>
    <row r="26" customFormat="false" ht="15" hidden="false" customHeight="false" outlineLevel="0" collapsed="false">
      <c r="A26" s="11"/>
      <c r="B26" s="6"/>
      <c r="C26" s="12" t="str">
        <f aca="false">IF(B26="","",IFERROR(INDEX('Black Registry'!$B$4:$B$103,MATCH(B26,'Black Registry'!$A$4:$A$103,0)),"Not found"))</f>
        <v/>
      </c>
      <c r="D26" s="6"/>
      <c r="E26" s="13" t="str">
        <f aca="false">IF(D26="","",IFERROR(INDEX('Reference Tables'!$B$3:$B$8,MATCH(D26,'Reference Tables'!$A$3:$A$8,0)),"Invalid package"))</f>
        <v/>
      </c>
      <c r="F26" s="12" t="str">
        <f aca="false">IF(D26="","",IFERROR(INDEX('Reference Tables'!$C$3:$C$8,MATCH(D26,'Reference Tables'!$A$3:$A$8,0)),"Invalid package"))</f>
        <v/>
      </c>
      <c r="G26" s="14" t="str">
        <f aca="false">IF(E26="","",'Reference Tables'!$C$16)</f>
        <v/>
      </c>
      <c r="H26" s="12" t="str">
        <f aca="false">IF(E26="","",IF(E26&gt;=150,"Yes","No"))</f>
        <v/>
      </c>
      <c r="I26" s="13" t="str">
        <f aca="false">IF(E26="","",IF(H26="Yes",E26*G26,0))</f>
        <v/>
      </c>
      <c r="J26" s="13" t="str">
        <f aca="false">IF(E26="","",E26-I26)</f>
        <v/>
      </c>
      <c r="K26" s="6"/>
      <c r="L26" s="6"/>
    </row>
    <row r="27" customFormat="false" ht="15" hidden="false" customHeight="false" outlineLevel="0" collapsed="false">
      <c r="A27" s="11"/>
      <c r="B27" s="6"/>
      <c r="C27" s="12" t="str">
        <f aca="false">IF(B27="","",IFERROR(INDEX('Black Registry'!$B$4:$B$103,MATCH(B27,'Black Registry'!$A$4:$A$103,0)),"Not found"))</f>
        <v/>
      </c>
      <c r="D27" s="6"/>
      <c r="E27" s="13" t="str">
        <f aca="false">IF(D27="","",IFERROR(INDEX('Reference Tables'!$B$3:$B$8,MATCH(D27,'Reference Tables'!$A$3:$A$8,0)),"Invalid package"))</f>
        <v/>
      </c>
      <c r="F27" s="12" t="str">
        <f aca="false">IF(D27="","",IFERROR(INDEX('Reference Tables'!$C$3:$C$8,MATCH(D27,'Reference Tables'!$A$3:$A$8,0)),"Invalid package"))</f>
        <v/>
      </c>
      <c r="G27" s="14" t="str">
        <f aca="false">IF(E27="","",'Reference Tables'!$C$16)</f>
        <v/>
      </c>
      <c r="H27" s="12" t="str">
        <f aca="false">IF(E27="","",IF(E27&gt;=150,"Yes","No"))</f>
        <v/>
      </c>
      <c r="I27" s="13" t="str">
        <f aca="false">IF(E27="","",IF(H27="Yes",E27*G27,0))</f>
        <v/>
      </c>
      <c r="J27" s="13" t="str">
        <f aca="false">IF(E27="","",E27-I27)</f>
        <v/>
      </c>
      <c r="K27" s="6"/>
      <c r="L27" s="6"/>
    </row>
    <row r="28" customFormat="false" ht="15" hidden="false" customHeight="false" outlineLevel="0" collapsed="false">
      <c r="A28" s="11"/>
      <c r="B28" s="6"/>
      <c r="C28" s="12" t="str">
        <f aca="false">IF(B28="","",IFERROR(INDEX('Black Registry'!$B$4:$B$103,MATCH(B28,'Black Registry'!$A$4:$A$103,0)),"Not found"))</f>
        <v/>
      </c>
      <c r="D28" s="6"/>
      <c r="E28" s="13" t="str">
        <f aca="false">IF(D28="","",IFERROR(INDEX('Reference Tables'!$B$3:$B$8,MATCH(D28,'Reference Tables'!$A$3:$A$8,0)),"Invalid package"))</f>
        <v/>
      </c>
      <c r="F28" s="12" t="str">
        <f aca="false">IF(D28="","",IFERROR(INDEX('Reference Tables'!$C$3:$C$8,MATCH(D28,'Reference Tables'!$A$3:$A$8,0)),"Invalid package"))</f>
        <v/>
      </c>
      <c r="G28" s="14" t="str">
        <f aca="false">IF(E28="","",'Reference Tables'!$C$16)</f>
        <v/>
      </c>
      <c r="H28" s="12" t="str">
        <f aca="false">IF(E28="","",IF(E28&gt;=150,"Yes","No"))</f>
        <v/>
      </c>
      <c r="I28" s="13" t="str">
        <f aca="false">IF(E28="","",IF(H28="Yes",E28*G28,0))</f>
        <v/>
      </c>
      <c r="J28" s="13" t="str">
        <f aca="false">IF(E28="","",E28-I28)</f>
        <v/>
      </c>
      <c r="K28" s="6"/>
      <c r="L28" s="6"/>
    </row>
    <row r="29" customFormat="false" ht="15" hidden="false" customHeight="false" outlineLevel="0" collapsed="false">
      <c r="A29" s="11"/>
      <c r="B29" s="6"/>
      <c r="C29" s="12" t="str">
        <f aca="false">IF(B29="","",IFERROR(INDEX('Black Registry'!$B$4:$B$103,MATCH(B29,'Black Registry'!$A$4:$A$103,0)),"Not found"))</f>
        <v/>
      </c>
      <c r="D29" s="6"/>
      <c r="E29" s="13" t="str">
        <f aca="false">IF(D29="","",IFERROR(INDEX('Reference Tables'!$B$3:$B$8,MATCH(D29,'Reference Tables'!$A$3:$A$8,0)),"Invalid package"))</f>
        <v/>
      </c>
      <c r="F29" s="12" t="str">
        <f aca="false">IF(D29="","",IFERROR(INDEX('Reference Tables'!$C$3:$C$8,MATCH(D29,'Reference Tables'!$A$3:$A$8,0)),"Invalid package"))</f>
        <v/>
      </c>
      <c r="G29" s="14" t="str">
        <f aca="false">IF(E29="","",'Reference Tables'!$C$16)</f>
        <v/>
      </c>
      <c r="H29" s="12" t="str">
        <f aca="false">IF(E29="","",IF(E29&gt;=150,"Yes","No"))</f>
        <v/>
      </c>
      <c r="I29" s="13" t="str">
        <f aca="false">IF(E29="","",IF(H29="Yes",E29*G29,0))</f>
        <v/>
      </c>
      <c r="J29" s="13" t="str">
        <f aca="false">IF(E29="","",E29-I29)</f>
        <v/>
      </c>
      <c r="K29" s="6"/>
      <c r="L29" s="6"/>
    </row>
    <row r="30" customFormat="false" ht="15" hidden="false" customHeight="false" outlineLevel="0" collapsed="false">
      <c r="A30" s="11"/>
      <c r="B30" s="6"/>
      <c r="C30" s="12" t="str">
        <f aca="false">IF(B30="","",IFERROR(INDEX('Black Registry'!$B$4:$B$103,MATCH(B30,'Black Registry'!$A$4:$A$103,0)),"Not found"))</f>
        <v/>
      </c>
      <c r="D30" s="6"/>
      <c r="E30" s="13" t="str">
        <f aca="false">IF(D30="","",IFERROR(INDEX('Reference Tables'!$B$3:$B$8,MATCH(D30,'Reference Tables'!$A$3:$A$8,0)),"Invalid package"))</f>
        <v/>
      </c>
      <c r="F30" s="12" t="str">
        <f aca="false">IF(D30="","",IFERROR(INDEX('Reference Tables'!$C$3:$C$8,MATCH(D30,'Reference Tables'!$A$3:$A$8,0)),"Invalid package"))</f>
        <v/>
      </c>
      <c r="G30" s="14" t="str">
        <f aca="false">IF(E30="","",'Reference Tables'!$C$16)</f>
        <v/>
      </c>
      <c r="H30" s="12" t="str">
        <f aca="false">IF(E30="","",IF(E30&gt;=150,"Yes","No"))</f>
        <v/>
      </c>
      <c r="I30" s="13" t="str">
        <f aca="false">IF(E30="","",IF(H30="Yes",E30*G30,0))</f>
        <v/>
      </c>
      <c r="J30" s="13" t="str">
        <f aca="false">IF(E30="","",E30-I30)</f>
        <v/>
      </c>
      <c r="K30" s="6"/>
      <c r="L30" s="6"/>
    </row>
    <row r="31" customFormat="false" ht="15" hidden="false" customHeight="false" outlineLevel="0" collapsed="false">
      <c r="A31" s="11"/>
      <c r="B31" s="6"/>
      <c r="C31" s="12" t="str">
        <f aca="false">IF(B31="","",IFERROR(INDEX('Black Registry'!$B$4:$B$103,MATCH(B31,'Black Registry'!$A$4:$A$103,0)),"Not found"))</f>
        <v/>
      </c>
      <c r="D31" s="6"/>
      <c r="E31" s="13" t="str">
        <f aca="false">IF(D31="","",IFERROR(INDEX('Reference Tables'!$B$3:$B$8,MATCH(D31,'Reference Tables'!$A$3:$A$8,0)),"Invalid package"))</f>
        <v/>
      </c>
      <c r="F31" s="12" t="str">
        <f aca="false">IF(D31="","",IFERROR(INDEX('Reference Tables'!$C$3:$C$8,MATCH(D31,'Reference Tables'!$A$3:$A$8,0)),"Invalid package"))</f>
        <v/>
      </c>
      <c r="G31" s="14" t="str">
        <f aca="false">IF(E31="","",'Reference Tables'!$C$16)</f>
        <v/>
      </c>
      <c r="H31" s="12" t="str">
        <f aca="false">IF(E31="","",IF(E31&gt;=150,"Yes","No"))</f>
        <v/>
      </c>
      <c r="I31" s="13" t="str">
        <f aca="false">IF(E31="","",IF(H31="Yes",E31*G31,0))</f>
        <v/>
      </c>
      <c r="J31" s="13" t="str">
        <f aca="false">IF(E31="","",E31-I31)</f>
        <v/>
      </c>
      <c r="K31" s="6"/>
      <c r="L31" s="6"/>
    </row>
    <row r="32" customFormat="false" ht="15" hidden="false" customHeight="false" outlineLevel="0" collapsed="false">
      <c r="A32" s="11"/>
      <c r="B32" s="6"/>
      <c r="C32" s="12" t="str">
        <f aca="false">IF(B32="","",IFERROR(INDEX('Black Registry'!$B$4:$B$103,MATCH(B32,'Black Registry'!$A$4:$A$103,0)),"Not found"))</f>
        <v/>
      </c>
      <c r="D32" s="6"/>
      <c r="E32" s="13" t="str">
        <f aca="false">IF(D32="","",IFERROR(INDEX('Reference Tables'!$B$3:$B$8,MATCH(D32,'Reference Tables'!$A$3:$A$8,0)),"Invalid package"))</f>
        <v/>
      </c>
      <c r="F32" s="12" t="str">
        <f aca="false">IF(D32="","",IFERROR(INDEX('Reference Tables'!$C$3:$C$8,MATCH(D32,'Reference Tables'!$A$3:$A$8,0)),"Invalid package"))</f>
        <v/>
      </c>
      <c r="G32" s="14" t="str">
        <f aca="false">IF(E32="","",'Reference Tables'!$C$16)</f>
        <v/>
      </c>
      <c r="H32" s="12" t="str">
        <f aca="false">IF(E32="","",IF(E32&gt;=150,"Yes","No"))</f>
        <v/>
      </c>
      <c r="I32" s="13" t="str">
        <f aca="false">IF(E32="","",IF(H32="Yes",E32*G32,0))</f>
        <v/>
      </c>
      <c r="J32" s="13" t="str">
        <f aca="false">IF(E32="","",E32-I32)</f>
        <v/>
      </c>
      <c r="K32" s="6"/>
      <c r="L32" s="6"/>
    </row>
    <row r="33" customFormat="false" ht="15" hidden="false" customHeight="false" outlineLevel="0" collapsed="false">
      <c r="A33" s="11"/>
      <c r="B33" s="6"/>
      <c r="C33" s="12" t="str">
        <f aca="false">IF(B33="","",IFERROR(INDEX('Black Registry'!$B$4:$B$103,MATCH(B33,'Black Registry'!$A$4:$A$103,0)),"Not found"))</f>
        <v/>
      </c>
      <c r="D33" s="6"/>
      <c r="E33" s="13" t="str">
        <f aca="false">IF(D33="","",IFERROR(INDEX('Reference Tables'!$B$3:$B$8,MATCH(D33,'Reference Tables'!$A$3:$A$8,0)),"Invalid package"))</f>
        <v/>
      </c>
      <c r="F33" s="12" t="str">
        <f aca="false">IF(D33="","",IFERROR(INDEX('Reference Tables'!$C$3:$C$8,MATCH(D33,'Reference Tables'!$A$3:$A$8,0)),"Invalid package"))</f>
        <v/>
      </c>
      <c r="G33" s="14" t="str">
        <f aca="false">IF(E33="","",'Reference Tables'!$C$16)</f>
        <v/>
      </c>
      <c r="H33" s="12" t="str">
        <f aca="false">IF(E33="","",IF(E33&gt;=150,"Yes","No"))</f>
        <v/>
      </c>
      <c r="I33" s="13" t="str">
        <f aca="false">IF(E33="","",IF(H33="Yes",E33*G33,0))</f>
        <v/>
      </c>
      <c r="J33" s="13" t="str">
        <f aca="false">IF(E33="","",E33-I33)</f>
        <v/>
      </c>
      <c r="K33" s="6"/>
      <c r="L33" s="6"/>
    </row>
    <row r="34" customFormat="false" ht="15" hidden="false" customHeight="false" outlineLevel="0" collapsed="false">
      <c r="A34" s="11"/>
      <c r="B34" s="6"/>
      <c r="C34" s="12" t="str">
        <f aca="false">IF(B34="","",IFERROR(INDEX('Black Registry'!$B$4:$B$103,MATCH(B34,'Black Registry'!$A$4:$A$103,0)),"Not found"))</f>
        <v/>
      </c>
      <c r="D34" s="6"/>
      <c r="E34" s="13" t="str">
        <f aca="false">IF(D34="","",IFERROR(INDEX('Reference Tables'!$B$3:$B$8,MATCH(D34,'Reference Tables'!$A$3:$A$8,0)),"Invalid package"))</f>
        <v/>
      </c>
      <c r="F34" s="12" t="str">
        <f aca="false">IF(D34="","",IFERROR(INDEX('Reference Tables'!$C$3:$C$8,MATCH(D34,'Reference Tables'!$A$3:$A$8,0)),"Invalid package"))</f>
        <v/>
      </c>
      <c r="G34" s="14" t="str">
        <f aca="false">IF(E34="","",'Reference Tables'!$C$16)</f>
        <v/>
      </c>
      <c r="H34" s="12" t="str">
        <f aca="false">IF(E34="","",IF(E34&gt;=150,"Yes","No"))</f>
        <v/>
      </c>
      <c r="I34" s="13" t="str">
        <f aca="false">IF(E34="","",IF(H34="Yes",E34*G34,0))</f>
        <v/>
      </c>
      <c r="J34" s="13" t="str">
        <f aca="false">IF(E34="","",E34-I34)</f>
        <v/>
      </c>
      <c r="K34" s="6"/>
      <c r="L34" s="6"/>
    </row>
    <row r="35" customFormat="false" ht="15" hidden="false" customHeight="false" outlineLevel="0" collapsed="false">
      <c r="A35" s="11"/>
      <c r="B35" s="6"/>
      <c r="C35" s="12" t="str">
        <f aca="false">IF(B35="","",IFERROR(INDEX('Black Registry'!$B$4:$B$103,MATCH(B35,'Black Registry'!$A$4:$A$103,0)),"Not found"))</f>
        <v/>
      </c>
      <c r="D35" s="6"/>
      <c r="E35" s="13" t="str">
        <f aca="false">IF(D35="","",IFERROR(INDEX('Reference Tables'!$B$3:$B$8,MATCH(D35,'Reference Tables'!$A$3:$A$8,0)),"Invalid package"))</f>
        <v/>
      </c>
      <c r="F35" s="12" t="str">
        <f aca="false">IF(D35="","",IFERROR(INDEX('Reference Tables'!$C$3:$C$8,MATCH(D35,'Reference Tables'!$A$3:$A$8,0)),"Invalid package"))</f>
        <v/>
      </c>
      <c r="G35" s="14" t="str">
        <f aca="false">IF(E35="","",'Reference Tables'!$C$16)</f>
        <v/>
      </c>
      <c r="H35" s="12" t="str">
        <f aca="false">IF(E35="","",IF(E35&gt;=150,"Yes","No"))</f>
        <v/>
      </c>
      <c r="I35" s="13" t="str">
        <f aca="false">IF(E35="","",IF(H35="Yes",E35*G35,0))</f>
        <v/>
      </c>
      <c r="J35" s="13" t="str">
        <f aca="false">IF(E35="","",E35-I35)</f>
        <v/>
      </c>
      <c r="K35" s="6"/>
      <c r="L35" s="6"/>
    </row>
    <row r="36" customFormat="false" ht="15" hidden="false" customHeight="false" outlineLevel="0" collapsed="false">
      <c r="A36" s="11"/>
      <c r="B36" s="6"/>
      <c r="C36" s="12" t="str">
        <f aca="false">IF(B36="","",IFERROR(INDEX('Black Registry'!$B$4:$B$103,MATCH(B36,'Black Registry'!$A$4:$A$103,0)),"Not found"))</f>
        <v/>
      </c>
      <c r="D36" s="6"/>
      <c r="E36" s="13" t="str">
        <f aca="false">IF(D36="","",IFERROR(INDEX('Reference Tables'!$B$3:$B$8,MATCH(D36,'Reference Tables'!$A$3:$A$8,0)),"Invalid package"))</f>
        <v/>
      </c>
      <c r="F36" s="12" t="str">
        <f aca="false">IF(D36="","",IFERROR(INDEX('Reference Tables'!$C$3:$C$8,MATCH(D36,'Reference Tables'!$A$3:$A$8,0)),"Invalid package"))</f>
        <v/>
      </c>
      <c r="G36" s="14" t="str">
        <f aca="false">IF(E36="","",'Reference Tables'!$C$16)</f>
        <v/>
      </c>
      <c r="H36" s="12" t="str">
        <f aca="false">IF(E36="","",IF(E36&gt;=150,"Yes","No"))</f>
        <v/>
      </c>
      <c r="I36" s="13" t="str">
        <f aca="false">IF(E36="","",IF(H36="Yes",E36*G36,0))</f>
        <v/>
      </c>
      <c r="J36" s="13" t="str">
        <f aca="false">IF(E36="","",E36-I36)</f>
        <v/>
      </c>
      <c r="K36" s="6"/>
      <c r="L36" s="6"/>
    </row>
    <row r="37" customFormat="false" ht="15" hidden="false" customHeight="false" outlineLevel="0" collapsed="false">
      <c r="A37" s="11"/>
      <c r="B37" s="6"/>
      <c r="C37" s="12" t="str">
        <f aca="false">IF(B37="","",IFERROR(INDEX('Black Registry'!$B$4:$B$103,MATCH(B37,'Black Registry'!$A$4:$A$103,0)),"Not found"))</f>
        <v/>
      </c>
      <c r="D37" s="6"/>
      <c r="E37" s="13" t="str">
        <f aca="false">IF(D37="","",IFERROR(INDEX('Reference Tables'!$B$3:$B$8,MATCH(D37,'Reference Tables'!$A$3:$A$8,0)),"Invalid package"))</f>
        <v/>
      </c>
      <c r="F37" s="12" t="str">
        <f aca="false">IF(D37="","",IFERROR(INDEX('Reference Tables'!$C$3:$C$8,MATCH(D37,'Reference Tables'!$A$3:$A$8,0)),"Invalid package"))</f>
        <v/>
      </c>
      <c r="G37" s="14" t="str">
        <f aca="false">IF(E37="","",'Reference Tables'!$C$16)</f>
        <v/>
      </c>
      <c r="H37" s="12" t="str">
        <f aca="false">IF(E37="","",IF(E37&gt;=150,"Yes","No"))</f>
        <v/>
      </c>
      <c r="I37" s="13" t="str">
        <f aca="false">IF(E37="","",IF(H37="Yes",E37*G37,0))</f>
        <v/>
      </c>
      <c r="J37" s="13" t="str">
        <f aca="false">IF(E37="","",E37-I37)</f>
        <v/>
      </c>
      <c r="K37" s="6"/>
      <c r="L37" s="6"/>
    </row>
    <row r="38" customFormat="false" ht="15" hidden="false" customHeight="false" outlineLevel="0" collapsed="false">
      <c r="A38" s="11"/>
      <c r="B38" s="6"/>
      <c r="C38" s="12" t="str">
        <f aca="false">IF(B38="","",IFERROR(INDEX('Black Registry'!$B$4:$B$103,MATCH(B38,'Black Registry'!$A$4:$A$103,0)),"Not found"))</f>
        <v/>
      </c>
      <c r="D38" s="6"/>
      <c r="E38" s="13" t="str">
        <f aca="false">IF(D38="","",IFERROR(INDEX('Reference Tables'!$B$3:$B$8,MATCH(D38,'Reference Tables'!$A$3:$A$8,0)),"Invalid package"))</f>
        <v/>
      </c>
      <c r="F38" s="12" t="str">
        <f aca="false">IF(D38="","",IFERROR(INDEX('Reference Tables'!$C$3:$C$8,MATCH(D38,'Reference Tables'!$A$3:$A$8,0)),"Invalid package"))</f>
        <v/>
      </c>
      <c r="G38" s="14" t="str">
        <f aca="false">IF(E38="","",'Reference Tables'!$C$16)</f>
        <v/>
      </c>
      <c r="H38" s="12" t="str">
        <f aca="false">IF(E38="","",IF(E38&gt;=150,"Yes","No"))</f>
        <v/>
      </c>
      <c r="I38" s="13" t="str">
        <f aca="false">IF(E38="","",IF(H38="Yes",E38*G38,0))</f>
        <v/>
      </c>
      <c r="J38" s="13" t="str">
        <f aca="false">IF(E38="","",E38-I38)</f>
        <v/>
      </c>
      <c r="K38" s="6"/>
      <c r="L38" s="6"/>
    </row>
    <row r="39" customFormat="false" ht="15" hidden="false" customHeight="false" outlineLevel="0" collapsed="false">
      <c r="A39" s="11"/>
      <c r="B39" s="6"/>
      <c r="C39" s="12" t="str">
        <f aca="false">IF(B39="","",IFERROR(INDEX('Black Registry'!$B$4:$B$103,MATCH(B39,'Black Registry'!$A$4:$A$103,0)),"Not found"))</f>
        <v/>
      </c>
      <c r="D39" s="6"/>
      <c r="E39" s="13" t="str">
        <f aca="false">IF(D39="","",IFERROR(INDEX('Reference Tables'!$B$3:$B$8,MATCH(D39,'Reference Tables'!$A$3:$A$8,0)),"Invalid package"))</f>
        <v/>
      </c>
      <c r="F39" s="12" t="str">
        <f aca="false">IF(D39="","",IFERROR(INDEX('Reference Tables'!$C$3:$C$8,MATCH(D39,'Reference Tables'!$A$3:$A$8,0)),"Invalid package"))</f>
        <v/>
      </c>
      <c r="G39" s="14" t="str">
        <f aca="false">IF(E39="","",'Reference Tables'!$C$16)</f>
        <v/>
      </c>
      <c r="H39" s="12" t="str">
        <f aca="false">IF(E39="","",IF(E39&gt;=150,"Yes","No"))</f>
        <v/>
      </c>
      <c r="I39" s="13" t="str">
        <f aca="false">IF(E39="","",IF(H39="Yes",E39*G39,0))</f>
        <v/>
      </c>
      <c r="J39" s="13" t="str">
        <f aca="false">IF(E39="","",E39-I39)</f>
        <v/>
      </c>
      <c r="K39" s="6"/>
      <c r="L39" s="6"/>
    </row>
    <row r="40" customFormat="false" ht="15" hidden="false" customHeight="false" outlineLevel="0" collapsed="false">
      <c r="A40" s="11"/>
      <c r="B40" s="6"/>
      <c r="C40" s="12" t="str">
        <f aca="false">IF(B40="","",IFERROR(INDEX('Black Registry'!$B$4:$B$103,MATCH(B40,'Black Registry'!$A$4:$A$103,0)),"Not found"))</f>
        <v/>
      </c>
      <c r="D40" s="6"/>
      <c r="E40" s="13" t="str">
        <f aca="false">IF(D40="","",IFERROR(INDEX('Reference Tables'!$B$3:$B$8,MATCH(D40,'Reference Tables'!$A$3:$A$8,0)),"Invalid package"))</f>
        <v/>
      </c>
      <c r="F40" s="12" t="str">
        <f aca="false">IF(D40="","",IFERROR(INDEX('Reference Tables'!$C$3:$C$8,MATCH(D40,'Reference Tables'!$A$3:$A$8,0)),"Invalid package"))</f>
        <v/>
      </c>
      <c r="G40" s="14" t="str">
        <f aca="false">IF(E40="","",'Reference Tables'!$C$16)</f>
        <v/>
      </c>
      <c r="H40" s="12" t="str">
        <f aca="false">IF(E40="","",IF(E40&gt;=150,"Yes","No"))</f>
        <v/>
      </c>
      <c r="I40" s="13" t="str">
        <f aca="false">IF(E40="","",IF(H40="Yes",E40*G40,0))</f>
        <v/>
      </c>
      <c r="J40" s="13" t="str">
        <f aca="false">IF(E40="","",E40-I40)</f>
        <v/>
      </c>
      <c r="K40" s="6"/>
      <c r="L40" s="6"/>
    </row>
    <row r="41" customFormat="false" ht="15" hidden="false" customHeight="false" outlineLevel="0" collapsed="false">
      <c r="A41" s="11"/>
      <c r="B41" s="6"/>
      <c r="C41" s="12" t="str">
        <f aca="false">IF(B41="","",IFERROR(INDEX('Black Registry'!$B$4:$B$103,MATCH(B41,'Black Registry'!$A$4:$A$103,0)),"Not found"))</f>
        <v/>
      </c>
      <c r="D41" s="6"/>
      <c r="E41" s="13" t="str">
        <f aca="false">IF(D41="","",IFERROR(INDEX('Reference Tables'!$B$3:$B$8,MATCH(D41,'Reference Tables'!$A$3:$A$8,0)),"Invalid package"))</f>
        <v/>
      </c>
      <c r="F41" s="12" t="str">
        <f aca="false">IF(D41="","",IFERROR(INDEX('Reference Tables'!$C$3:$C$8,MATCH(D41,'Reference Tables'!$A$3:$A$8,0)),"Invalid package"))</f>
        <v/>
      </c>
      <c r="G41" s="14" t="str">
        <f aca="false">IF(E41="","",'Reference Tables'!$C$16)</f>
        <v/>
      </c>
      <c r="H41" s="12" t="str">
        <f aca="false">IF(E41="","",IF(E41&gt;=150,"Yes","No"))</f>
        <v/>
      </c>
      <c r="I41" s="13" t="str">
        <f aca="false">IF(E41="","",IF(H41="Yes",E41*G41,0))</f>
        <v/>
      </c>
      <c r="J41" s="13" t="str">
        <f aca="false">IF(E41="","",E41-I41)</f>
        <v/>
      </c>
      <c r="K41" s="6"/>
      <c r="L41" s="6"/>
    </row>
    <row r="42" customFormat="false" ht="15" hidden="false" customHeight="false" outlineLevel="0" collapsed="false">
      <c r="A42" s="11"/>
      <c r="B42" s="6"/>
      <c r="C42" s="12" t="str">
        <f aca="false">IF(B42="","",IFERROR(INDEX('Black Registry'!$B$4:$B$103,MATCH(B42,'Black Registry'!$A$4:$A$103,0)),"Not found"))</f>
        <v/>
      </c>
      <c r="D42" s="6"/>
      <c r="E42" s="13" t="str">
        <f aca="false">IF(D42="","",IFERROR(INDEX('Reference Tables'!$B$3:$B$8,MATCH(D42,'Reference Tables'!$A$3:$A$8,0)),"Invalid package"))</f>
        <v/>
      </c>
      <c r="F42" s="12" t="str">
        <f aca="false">IF(D42="","",IFERROR(INDEX('Reference Tables'!$C$3:$C$8,MATCH(D42,'Reference Tables'!$A$3:$A$8,0)),"Invalid package"))</f>
        <v/>
      </c>
      <c r="G42" s="14" t="str">
        <f aca="false">IF(E42="","",'Reference Tables'!$C$16)</f>
        <v/>
      </c>
      <c r="H42" s="12" t="str">
        <f aca="false">IF(E42="","",IF(E42&gt;=150,"Yes","No"))</f>
        <v/>
      </c>
      <c r="I42" s="13" t="str">
        <f aca="false">IF(E42="","",IF(H42="Yes",E42*G42,0))</f>
        <v/>
      </c>
      <c r="J42" s="13" t="str">
        <f aca="false">IF(E42="","",E42-I42)</f>
        <v/>
      </c>
      <c r="K42" s="6"/>
      <c r="L42" s="6"/>
    </row>
    <row r="43" customFormat="false" ht="15" hidden="false" customHeight="false" outlineLevel="0" collapsed="false">
      <c r="A43" s="11"/>
      <c r="B43" s="6"/>
      <c r="C43" s="12" t="str">
        <f aca="false">IF(B43="","",IFERROR(INDEX('Black Registry'!$B$4:$B$103,MATCH(B43,'Black Registry'!$A$4:$A$103,0)),"Not found"))</f>
        <v/>
      </c>
      <c r="D43" s="6"/>
      <c r="E43" s="13" t="str">
        <f aca="false">IF(D43="","",IFERROR(INDEX('Reference Tables'!$B$3:$B$8,MATCH(D43,'Reference Tables'!$A$3:$A$8,0)),"Invalid package"))</f>
        <v/>
      </c>
      <c r="F43" s="12" t="str">
        <f aca="false">IF(D43="","",IFERROR(INDEX('Reference Tables'!$C$3:$C$8,MATCH(D43,'Reference Tables'!$A$3:$A$8,0)),"Invalid package"))</f>
        <v/>
      </c>
      <c r="G43" s="14" t="str">
        <f aca="false">IF(E43="","",'Reference Tables'!$C$16)</f>
        <v/>
      </c>
      <c r="H43" s="12" t="str">
        <f aca="false">IF(E43="","",IF(E43&gt;=150,"Yes","No"))</f>
        <v/>
      </c>
      <c r="I43" s="13" t="str">
        <f aca="false">IF(E43="","",IF(H43="Yes",E43*G43,0))</f>
        <v/>
      </c>
      <c r="J43" s="13" t="str">
        <f aca="false">IF(E43="","",E43-I43)</f>
        <v/>
      </c>
      <c r="K43" s="6"/>
      <c r="L43" s="6"/>
    </row>
    <row r="44" customFormat="false" ht="15" hidden="false" customHeight="false" outlineLevel="0" collapsed="false">
      <c r="A44" s="11"/>
      <c r="B44" s="6"/>
      <c r="C44" s="12" t="str">
        <f aca="false">IF(B44="","",IFERROR(INDEX('Black Registry'!$B$4:$B$103,MATCH(B44,'Black Registry'!$A$4:$A$103,0)),"Not found"))</f>
        <v/>
      </c>
      <c r="D44" s="6"/>
      <c r="E44" s="13" t="str">
        <f aca="false">IF(D44="","",IFERROR(INDEX('Reference Tables'!$B$3:$B$8,MATCH(D44,'Reference Tables'!$A$3:$A$8,0)),"Invalid package"))</f>
        <v/>
      </c>
      <c r="F44" s="12" t="str">
        <f aca="false">IF(D44="","",IFERROR(INDEX('Reference Tables'!$C$3:$C$8,MATCH(D44,'Reference Tables'!$A$3:$A$8,0)),"Invalid package"))</f>
        <v/>
      </c>
      <c r="G44" s="14" t="str">
        <f aca="false">IF(E44="","",'Reference Tables'!$C$16)</f>
        <v/>
      </c>
      <c r="H44" s="12" t="str">
        <f aca="false">IF(E44="","",IF(E44&gt;=150,"Yes","No"))</f>
        <v/>
      </c>
      <c r="I44" s="13" t="str">
        <f aca="false">IF(E44="","",IF(H44="Yes",E44*G44,0))</f>
        <v/>
      </c>
      <c r="J44" s="13" t="str">
        <f aca="false">IF(E44="","",E44-I44)</f>
        <v/>
      </c>
      <c r="K44" s="6"/>
      <c r="L44" s="6"/>
    </row>
    <row r="45" customFormat="false" ht="15" hidden="false" customHeight="false" outlineLevel="0" collapsed="false">
      <c r="A45" s="11"/>
      <c r="B45" s="6"/>
      <c r="C45" s="12" t="str">
        <f aca="false">IF(B45="","",IFERROR(INDEX('Black Registry'!$B$4:$B$103,MATCH(B45,'Black Registry'!$A$4:$A$103,0)),"Not found"))</f>
        <v/>
      </c>
      <c r="D45" s="6"/>
      <c r="E45" s="13" t="str">
        <f aca="false">IF(D45="","",IFERROR(INDEX('Reference Tables'!$B$3:$B$8,MATCH(D45,'Reference Tables'!$A$3:$A$8,0)),"Invalid package"))</f>
        <v/>
      </c>
      <c r="F45" s="12" t="str">
        <f aca="false">IF(D45="","",IFERROR(INDEX('Reference Tables'!$C$3:$C$8,MATCH(D45,'Reference Tables'!$A$3:$A$8,0)),"Invalid package"))</f>
        <v/>
      </c>
      <c r="G45" s="14" t="str">
        <f aca="false">IF(E45="","",'Reference Tables'!$C$16)</f>
        <v/>
      </c>
      <c r="H45" s="12" t="str">
        <f aca="false">IF(E45="","",IF(E45&gt;=150,"Yes","No"))</f>
        <v/>
      </c>
      <c r="I45" s="13" t="str">
        <f aca="false">IF(E45="","",IF(H45="Yes",E45*G45,0))</f>
        <v/>
      </c>
      <c r="J45" s="13" t="str">
        <f aca="false">IF(E45="","",E45-I45)</f>
        <v/>
      </c>
      <c r="K45" s="6"/>
      <c r="L45" s="6"/>
    </row>
    <row r="46" customFormat="false" ht="15" hidden="false" customHeight="false" outlineLevel="0" collapsed="false">
      <c r="A46" s="11"/>
      <c r="B46" s="6"/>
      <c r="C46" s="12" t="str">
        <f aca="false">IF(B46="","",IFERROR(INDEX('Black Registry'!$B$4:$B$103,MATCH(B46,'Black Registry'!$A$4:$A$103,0)),"Not found"))</f>
        <v/>
      </c>
      <c r="D46" s="6"/>
      <c r="E46" s="13" t="str">
        <f aca="false">IF(D46="","",IFERROR(INDEX('Reference Tables'!$B$3:$B$8,MATCH(D46,'Reference Tables'!$A$3:$A$8,0)),"Invalid package"))</f>
        <v/>
      </c>
      <c r="F46" s="12" t="str">
        <f aca="false">IF(D46="","",IFERROR(INDEX('Reference Tables'!$C$3:$C$8,MATCH(D46,'Reference Tables'!$A$3:$A$8,0)),"Invalid package"))</f>
        <v/>
      </c>
      <c r="G46" s="14" t="str">
        <f aca="false">IF(E46="","",'Reference Tables'!$C$16)</f>
        <v/>
      </c>
      <c r="H46" s="12" t="str">
        <f aca="false">IF(E46="","",IF(E46&gt;=150,"Yes","No"))</f>
        <v/>
      </c>
      <c r="I46" s="13" t="str">
        <f aca="false">IF(E46="","",IF(H46="Yes",E46*G46,0))</f>
        <v/>
      </c>
      <c r="J46" s="13" t="str">
        <f aca="false">IF(E46="","",E46-I46)</f>
        <v/>
      </c>
      <c r="K46" s="6"/>
      <c r="L46" s="6"/>
    </row>
    <row r="47" customFormat="false" ht="15" hidden="false" customHeight="false" outlineLevel="0" collapsed="false">
      <c r="A47" s="11"/>
      <c r="B47" s="6"/>
      <c r="C47" s="12" t="str">
        <f aca="false">IF(B47="","",IFERROR(INDEX('Black Registry'!$B$4:$B$103,MATCH(B47,'Black Registry'!$A$4:$A$103,0)),"Not found"))</f>
        <v/>
      </c>
      <c r="D47" s="6"/>
      <c r="E47" s="13" t="str">
        <f aca="false">IF(D47="","",IFERROR(INDEX('Reference Tables'!$B$3:$B$8,MATCH(D47,'Reference Tables'!$A$3:$A$8,0)),"Invalid package"))</f>
        <v/>
      </c>
      <c r="F47" s="12" t="str">
        <f aca="false">IF(D47="","",IFERROR(INDEX('Reference Tables'!$C$3:$C$8,MATCH(D47,'Reference Tables'!$A$3:$A$8,0)),"Invalid package"))</f>
        <v/>
      </c>
      <c r="G47" s="14" t="str">
        <f aca="false">IF(E47="","",'Reference Tables'!$C$16)</f>
        <v/>
      </c>
      <c r="H47" s="12" t="str">
        <f aca="false">IF(E47="","",IF(E47&gt;=150,"Yes","No"))</f>
        <v/>
      </c>
      <c r="I47" s="13" t="str">
        <f aca="false">IF(E47="","",IF(H47="Yes",E47*G47,0))</f>
        <v/>
      </c>
      <c r="J47" s="13" t="str">
        <f aca="false">IF(E47="","",E47-I47)</f>
        <v/>
      </c>
      <c r="K47" s="6"/>
      <c r="L47" s="6"/>
    </row>
    <row r="48" customFormat="false" ht="15" hidden="false" customHeight="false" outlineLevel="0" collapsed="false">
      <c r="A48" s="11"/>
      <c r="B48" s="6"/>
      <c r="C48" s="12" t="str">
        <f aca="false">IF(B48="","",IFERROR(INDEX('Black Registry'!$B$4:$B$103,MATCH(B48,'Black Registry'!$A$4:$A$103,0)),"Not found"))</f>
        <v/>
      </c>
      <c r="D48" s="6"/>
      <c r="E48" s="13" t="str">
        <f aca="false">IF(D48="","",IFERROR(INDEX('Reference Tables'!$B$3:$B$8,MATCH(D48,'Reference Tables'!$A$3:$A$8,0)),"Invalid package"))</f>
        <v/>
      </c>
      <c r="F48" s="12" t="str">
        <f aca="false">IF(D48="","",IFERROR(INDEX('Reference Tables'!$C$3:$C$8,MATCH(D48,'Reference Tables'!$A$3:$A$8,0)),"Invalid package"))</f>
        <v/>
      </c>
      <c r="G48" s="14" t="str">
        <f aca="false">IF(E48="","",'Reference Tables'!$C$16)</f>
        <v/>
      </c>
      <c r="H48" s="12" t="str">
        <f aca="false">IF(E48="","",IF(E48&gt;=150,"Yes","No"))</f>
        <v/>
      </c>
      <c r="I48" s="13" t="str">
        <f aca="false">IF(E48="","",IF(H48="Yes",E48*G48,0))</f>
        <v/>
      </c>
      <c r="J48" s="13" t="str">
        <f aca="false">IF(E48="","",E48-I48)</f>
        <v/>
      </c>
      <c r="K48" s="6"/>
      <c r="L48" s="6"/>
    </row>
    <row r="49" customFormat="false" ht="15" hidden="false" customHeight="false" outlineLevel="0" collapsed="false">
      <c r="A49" s="11"/>
      <c r="B49" s="6"/>
      <c r="C49" s="12" t="str">
        <f aca="false">IF(B49="","",IFERROR(INDEX('Black Registry'!$B$4:$B$103,MATCH(B49,'Black Registry'!$A$4:$A$103,0)),"Not found"))</f>
        <v/>
      </c>
      <c r="D49" s="6"/>
      <c r="E49" s="13" t="str">
        <f aca="false">IF(D49="","",IFERROR(INDEX('Reference Tables'!$B$3:$B$8,MATCH(D49,'Reference Tables'!$A$3:$A$8,0)),"Invalid package"))</f>
        <v/>
      </c>
      <c r="F49" s="12" t="str">
        <f aca="false">IF(D49="","",IFERROR(INDEX('Reference Tables'!$C$3:$C$8,MATCH(D49,'Reference Tables'!$A$3:$A$8,0)),"Invalid package"))</f>
        <v/>
      </c>
      <c r="G49" s="14" t="str">
        <f aca="false">IF(E49="","",'Reference Tables'!$C$16)</f>
        <v/>
      </c>
      <c r="H49" s="12" t="str">
        <f aca="false">IF(E49="","",IF(E49&gt;=150,"Yes","No"))</f>
        <v/>
      </c>
      <c r="I49" s="13" t="str">
        <f aca="false">IF(E49="","",IF(H49="Yes",E49*G49,0))</f>
        <v/>
      </c>
      <c r="J49" s="13" t="str">
        <f aca="false">IF(E49="","",E49-I49)</f>
        <v/>
      </c>
      <c r="K49" s="6"/>
      <c r="L49" s="6"/>
    </row>
    <row r="50" customFormat="false" ht="15" hidden="false" customHeight="false" outlineLevel="0" collapsed="false">
      <c r="A50" s="11"/>
      <c r="B50" s="6"/>
      <c r="C50" s="12" t="str">
        <f aca="false">IF(B50="","",IFERROR(INDEX('Black Registry'!$B$4:$B$103,MATCH(B50,'Black Registry'!$A$4:$A$103,0)),"Not found"))</f>
        <v/>
      </c>
      <c r="D50" s="6"/>
      <c r="E50" s="13" t="str">
        <f aca="false">IF(D50="","",IFERROR(INDEX('Reference Tables'!$B$3:$B$8,MATCH(D50,'Reference Tables'!$A$3:$A$8,0)),"Invalid package"))</f>
        <v/>
      </c>
      <c r="F50" s="12" t="str">
        <f aca="false">IF(D50="","",IFERROR(INDEX('Reference Tables'!$C$3:$C$8,MATCH(D50,'Reference Tables'!$A$3:$A$8,0)),"Invalid package"))</f>
        <v/>
      </c>
      <c r="G50" s="14" t="str">
        <f aca="false">IF(E50="","",'Reference Tables'!$C$16)</f>
        <v/>
      </c>
      <c r="H50" s="12" t="str">
        <f aca="false">IF(E50="","",IF(E50&gt;=150,"Yes","No"))</f>
        <v/>
      </c>
      <c r="I50" s="13" t="str">
        <f aca="false">IF(E50="","",IF(H50="Yes",E50*G50,0))</f>
        <v/>
      </c>
      <c r="J50" s="13" t="str">
        <f aca="false">IF(E50="","",E50-I50)</f>
        <v/>
      </c>
      <c r="K50" s="6"/>
      <c r="L50" s="6"/>
    </row>
    <row r="51" customFormat="false" ht="15" hidden="false" customHeight="false" outlineLevel="0" collapsed="false">
      <c r="A51" s="11"/>
      <c r="B51" s="6"/>
      <c r="C51" s="12" t="str">
        <f aca="false">IF(B51="","",IFERROR(INDEX('Black Registry'!$B$4:$B$103,MATCH(B51,'Black Registry'!$A$4:$A$103,0)),"Not found"))</f>
        <v/>
      </c>
      <c r="D51" s="6"/>
      <c r="E51" s="13" t="str">
        <f aca="false">IF(D51="","",IFERROR(INDEX('Reference Tables'!$B$3:$B$8,MATCH(D51,'Reference Tables'!$A$3:$A$8,0)),"Invalid package"))</f>
        <v/>
      </c>
      <c r="F51" s="12" t="str">
        <f aca="false">IF(D51="","",IFERROR(INDEX('Reference Tables'!$C$3:$C$8,MATCH(D51,'Reference Tables'!$A$3:$A$8,0)),"Invalid package"))</f>
        <v/>
      </c>
      <c r="G51" s="14" t="str">
        <f aca="false">IF(E51="","",'Reference Tables'!$C$16)</f>
        <v/>
      </c>
      <c r="H51" s="12" t="str">
        <f aca="false">IF(E51="","",IF(E51&gt;=150,"Yes","No"))</f>
        <v/>
      </c>
      <c r="I51" s="13" t="str">
        <f aca="false">IF(E51="","",IF(H51="Yes",E51*G51,0))</f>
        <v/>
      </c>
      <c r="J51" s="13" t="str">
        <f aca="false">IF(E51="","",E51-I51)</f>
        <v/>
      </c>
      <c r="K51" s="6"/>
      <c r="L51" s="6"/>
    </row>
    <row r="52" customFormat="false" ht="15" hidden="false" customHeight="false" outlineLevel="0" collapsed="false">
      <c r="A52" s="11"/>
      <c r="B52" s="6"/>
      <c r="C52" s="12" t="str">
        <f aca="false">IF(B52="","",IFERROR(INDEX('Black Registry'!$B$4:$B$103,MATCH(B52,'Black Registry'!$A$4:$A$103,0)),"Not found"))</f>
        <v/>
      </c>
      <c r="D52" s="6"/>
      <c r="E52" s="13" t="str">
        <f aca="false">IF(D52="","",IFERROR(INDEX('Reference Tables'!$B$3:$B$8,MATCH(D52,'Reference Tables'!$A$3:$A$8,0)),"Invalid package"))</f>
        <v/>
      </c>
      <c r="F52" s="12" t="str">
        <f aca="false">IF(D52="","",IFERROR(INDEX('Reference Tables'!$C$3:$C$8,MATCH(D52,'Reference Tables'!$A$3:$A$8,0)),"Invalid package"))</f>
        <v/>
      </c>
      <c r="G52" s="14" t="str">
        <f aca="false">IF(E52="","",'Reference Tables'!$C$16)</f>
        <v/>
      </c>
      <c r="H52" s="12" t="str">
        <f aca="false">IF(E52="","",IF(E52&gt;=150,"Yes","No"))</f>
        <v/>
      </c>
      <c r="I52" s="13" t="str">
        <f aca="false">IF(E52="","",IF(H52="Yes",E52*G52,0))</f>
        <v/>
      </c>
      <c r="J52" s="13" t="str">
        <f aca="false">IF(E52="","",E52-I52)</f>
        <v/>
      </c>
      <c r="K52" s="6"/>
      <c r="L52" s="6"/>
    </row>
    <row r="53" customFormat="false" ht="15" hidden="false" customHeight="false" outlineLevel="0" collapsed="false">
      <c r="A53" s="11"/>
      <c r="B53" s="6"/>
      <c r="C53" s="12" t="str">
        <f aca="false">IF(B53="","",IFERROR(INDEX('Black Registry'!$B$4:$B$103,MATCH(B53,'Black Registry'!$A$4:$A$103,0)),"Not found"))</f>
        <v/>
      </c>
      <c r="D53" s="6"/>
      <c r="E53" s="13" t="str">
        <f aca="false">IF(D53="","",IFERROR(INDEX('Reference Tables'!$B$3:$B$8,MATCH(D53,'Reference Tables'!$A$3:$A$8,0)),"Invalid package"))</f>
        <v/>
      </c>
      <c r="F53" s="12" t="str">
        <f aca="false">IF(D53="","",IFERROR(INDEX('Reference Tables'!$C$3:$C$8,MATCH(D53,'Reference Tables'!$A$3:$A$8,0)),"Invalid package"))</f>
        <v/>
      </c>
      <c r="G53" s="14" t="str">
        <f aca="false">IF(E53="","",'Reference Tables'!$C$16)</f>
        <v/>
      </c>
      <c r="H53" s="12" t="str">
        <f aca="false">IF(E53="","",IF(E53&gt;=150,"Yes","No"))</f>
        <v/>
      </c>
      <c r="I53" s="13" t="str">
        <f aca="false">IF(E53="","",IF(H53="Yes",E53*G53,0))</f>
        <v/>
      </c>
      <c r="J53" s="13" t="str">
        <f aca="false">IF(E53="","",E53-I53)</f>
        <v/>
      </c>
      <c r="K53" s="6"/>
      <c r="L53" s="6"/>
    </row>
    <row r="54" customFormat="false" ht="15" hidden="false" customHeight="false" outlineLevel="0" collapsed="false">
      <c r="A54" s="11"/>
      <c r="B54" s="6"/>
      <c r="C54" s="12" t="str">
        <f aca="false">IF(B54="","",IFERROR(INDEX('Black Registry'!$B$4:$B$103,MATCH(B54,'Black Registry'!$A$4:$A$103,0)),"Not found"))</f>
        <v/>
      </c>
      <c r="D54" s="6"/>
      <c r="E54" s="13" t="str">
        <f aca="false">IF(D54="","",IFERROR(INDEX('Reference Tables'!$B$3:$B$8,MATCH(D54,'Reference Tables'!$A$3:$A$8,0)),"Invalid package"))</f>
        <v/>
      </c>
      <c r="F54" s="12" t="str">
        <f aca="false">IF(D54="","",IFERROR(INDEX('Reference Tables'!$C$3:$C$8,MATCH(D54,'Reference Tables'!$A$3:$A$8,0)),"Invalid package"))</f>
        <v/>
      </c>
      <c r="G54" s="14" t="str">
        <f aca="false">IF(E54="","",'Reference Tables'!$C$16)</f>
        <v/>
      </c>
      <c r="H54" s="12" t="str">
        <f aca="false">IF(E54="","",IF(E54&gt;=150,"Yes","No"))</f>
        <v/>
      </c>
      <c r="I54" s="13" t="str">
        <f aca="false">IF(E54="","",IF(H54="Yes",E54*G54,0))</f>
        <v/>
      </c>
      <c r="J54" s="13" t="str">
        <f aca="false">IF(E54="","",E54-I54)</f>
        <v/>
      </c>
      <c r="K54" s="6"/>
      <c r="L54" s="6"/>
    </row>
    <row r="55" customFormat="false" ht="15" hidden="false" customHeight="false" outlineLevel="0" collapsed="false">
      <c r="A55" s="11"/>
      <c r="B55" s="6"/>
      <c r="C55" s="12" t="str">
        <f aca="false">IF(B55="","",IFERROR(INDEX('Black Registry'!$B$4:$B$103,MATCH(B55,'Black Registry'!$A$4:$A$103,0)),"Not found"))</f>
        <v/>
      </c>
      <c r="D55" s="6"/>
      <c r="E55" s="13" t="str">
        <f aca="false">IF(D55="","",IFERROR(INDEX('Reference Tables'!$B$3:$B$8,MATCH(D55,'Reference Tables'!$A$3:$A$8,0)),"Invalid package"))</f>
        <v/>
      </c>
      <c r="F55" s="12" t="str">
        <f aca="false">IF(D55="","",IFERROR(INDEX('Reference Tables'!$C$3:$C$8,MATCH(D55,'Reference Tables'!$A$3:$A$8,0)),"Invalid package"))</f>
        <v/>
      </c>
      <c r="G55" s="14" t="str">
        <f aca="false">IF(E55="","",'Reference Tables'!$C$16)</f>
        <v/>
      </c>
      <c r="H55" s="12" t="str">
        <f aca="false">IF(E55="","",IF(E55&gt;=150,"Yes","No"))</f>
        <v/>
      </c>
      <c r="I55" s="13" t="str">
        <f aca="false">IF(E55="","",IF(H55="Yes",E55*G55,0))</f>
        <v/>
      </c>
      <c r="J55" s="13" t="str">
        <f aca="false">IF(E55="","",E55-I55)</f>
        <v/>
      </c>
      <c r="K55" s="6"/>
      <c r="L55" s="6"/>
    </row>
    <row r="56" customFormat="false" ht="15" hidden="false" customHeight="false" outlineLevel="0" collapsed="false">
      <c r="A56" s="11"/>
      <c r="B56" s="6"/>
      <c r="C56" s="12" t="str">
        <f aca="false">IF(B56="","",IFERROR(INDEX('Black Registry'!$B$4:$B$103,MATCH(B56,'Black Registry'!$A$4:$A$103,0)),"Not found"))</f>
        <v/>
      </c>
      <c r="D56" s="6"/>
      <c r="E56" s="13" t="str">
        <f aca="false">IF(D56="","",IFERROR(INDEX('Reference Tables'!$B$3:$B$8,MATCH(D56,'Reference Tables'!$A$3:$A$8,0)),"Invalid package"))</f>
        <v/>
      </c>
      <c r="F56" s="12" t="str">
        <f aca="false">IF(D56="","",IFERROR(INDEX('Reference Tables'!$C$3:$C$8,MATCH(D56,'Reference Tables'!$A$3:$A$8,0)),"Invalid package"))</f>
        <v/>
      </c>
      <c r="G56" s="14" t="str">
        <f aca="false">IF(E56="","",'Reference Tables'!$C$16)</f>
        <v/>
      </c>
      <c r="H56" s="12" t="str">
        <f aca="false">IF(E56="","",IF(E56&gt;=150,"Yes","No"))</f>
        <v/>
      </c>
      <c r="I56" s="13" t="str">
        <f aca="false">IF(E56="","",IF(H56="Yes",E56*G56,0))</f>
        <v/>
      </c>
      <c r="J56" s="13" t="str">
        <f aca="false">IF(E56="","",E56-I56)</f>
        <v/>
      </c>
      <c r="K56" s="6"/>
      <c r="L56" s="6"/>
    </row>
    <row r="57" customFormat="false" ht="15" hidden="false" customHeight="false" outlineLevel="0" collapsed="false">
      <c r="A57" s="11"/>
      <c r="B57" s="6"/>
      <c r="C57" s="12" t="str">
        <f aca="false">IF(B57="","",IFERROR(INDEX('Black Registry'!$B$4:$B$103,MATCH(B57,'Black Registry'!$A$4:$A$103,0)),"Not found"))</f>
        <v/>
      </c>
      <c r="D57" s="6"/>
      <c r="E57" s="13" t="str">
        <f aca="false">IF(D57="","",IFERROR(INDEX('Reference Tables'!$B$3:$B$8,MATCH(D57,'Reference Tables'!$A$3:$A$8,0)),"Invalid package"))</f>
        <v/>
      </c>
      <c r="F57" s="12" t="str">
        <f aca="false">IF(D57="","",IFERROR(INDEX('Reference Tables'!$C$3:$C$8,MATCH(D57,'Reference Tables'!$A$3:$A$8,0)),"Invalid package"))</f>
        <v/>
      </c>
      <c r="G57" s="14" t="str">
        <f aca="false">IF(E57="","",'Reference Tables'!$C$16)</f>
        <v/>
      </c>
      <c r="H57" s="12" t="str">
        <f aca="false">IF(E57="","",IF(E57&gt;=150,"Yes","No"))</f>
        <v/>
      </c>
      <c r="I57" s="13" t="str">
        <f aca="false">IF(E57="","",IF(H57="Yes",E57*G57,0))</f>
        <v/>
      </c>
      <c r="J57" s="13" t="str">
        <f aca="false">IF(E57="","",E57-I57)</f>
        <v/>
      </c>
      <c r="K57" s="6"/>
      <c r="L57" s="6"/>
    </row>
    <row r="58" customFormat="false" ht="15" hidden="false" customHeight="false" outlineLevel="0" collapsed="false">
      <c r="A58" s="11"/>
      <c r="B58" s="6"/>
      <c r="C58" s="12" t="str">
        <f aca="false">IF(B58="","",IFERROR(INDEX('Black Registry'!$B$4:$B$103,MATCH(B58,'Black Registry'!$A$4:$A$103,0)),"Not found"))</f>
        <v/>
      </c>
      <c r="D58" s="6"/>
      <c r="E58" s="13" t="str">
        <f aca="false">IF(D58="","",IFERROR(INDEX('Reference Tables'!$B$3:$B$8,MATCH(D58,'Reference Tables'!$A$3:$A$8,0)),"Invalid package"))</f>
        <v/>
      </c>
      <c r="F58" s="12" t="str">
        <f aca="false">IF(D58="","",IFERROR(INDEX('Reference Tables'!$C$3:$C$8,MATCH(D58,'Reference Tables'!$A$3:$A$8,0)),"Invalid package"))</f>
        <v/>
      </c>
      <c r="G58" s="14" t="str">
        <f aca="false">IF(E58="","",'Reference Tables'!$C$16)</f>
        <v/>
      </c>
      <c r="H58" s="12" t="str">
        <f aca="false">IF(E58="","",IF(E58&gt;=150,"Yes","No"))</f>
        <v/>
      </c>
      <c r="I58" s="13" t="str">
        <f aca="false">IF(E58="","",IF(H58="Yes",E58*G58,0))</f>
        <v/>
      </c>
      <c r="J58" s="13" t="str">
        <f aca="false">IF(E58="","",E58-I58)</f>
        <v/>
      </c>
      <c r="K58" s="6"/>
      <c r="L58" s="6"/>
    </row>
    <row r="59" customFormat="false" ht="15" hidden="false" customHeight="false" outlineLevel="0" collapsed="false">
      <c r="A59" s="11"/>
      <c r="B59" s="6"/>
      <c r="C59" s="12" t="str">
        <f aca="false">IF(B59="","",IFERROR(INDEX('Black Registry'!$B$4:$B$103,MATCH(B59,'Black Registry'!$A$4:$A$103,0)),"Not found"))</f>
        <v/>
      </c>
      <c r="D59" s="6"/>
      <c r="E59" s="13" t="str">
        <f aca="false">IF(D59="","",IFERROR(INDEX('Reference Tables'!$B$3:$B$8,MATCH(D59,'Reference Tables'!$A$3:$A$8,0)),"Invalid package"))</f>
        <v/>
      </c>
      <c r="F59" s="12" t="str">
        <f aca="false">IF(D59="","",IFERROR(INDEX('Reference Tables'!$C$3:$C$8,MATCH(D59,'Reference Tables'!$A$3:$A$8,0)),"Invalid package"))</f>
        <v/>
      </c>
      <c r="G59" s="14" t="str">
        <f aca="false">IF(E59="","",'Reference Tables'!$C$16)</f>
        <v/>
      </c>
      <c r="H59" s="12" t="str">
        <f aca="false">IF(E59="","",IF(E59&gt;=150,"Yes","No"))</f>
        <v/>
      </c>
      <c r="I59" s="13" t="str">
        <f aca="false">IF(E59="","",IF(H59="Yes",E59*G59,0))</f>
        <v/>
      </c>
      <c r="J59" s="13" t="str">
        <f aca="false">IF(E59="","",E59-I59)</f>
        <v/>
      </c>
      <c r="K59" s="6"/>
      <c r="L59" s="6"/>
    </row>
    <row r="60" customFormat="false" ht="15" hidden="false" customHeight="false" outlineLevel="0" collapsed="false">
      <c r="A60" s="11"/>
      <c r="B60" s="6"/>
      <c r="C60" s="12" t="str">
        <f aca="false">IF(B60="","",IFERROR(INDEX('Black Registry'!$B$4:$B$103,MATCH(B60,'Black Registry'!$A$4:$A$103,0)),"Not found"))</f>
        <v/>
      </c>
      <c r="D60" s="6"/>
      <c r="E60" s="13" t="str">
        <f aca="false">IF(D60="","",IFERROR(INDEX('Reference Tables'!$B$3:$B$8,MATCH(D60,'Reference Tables'!$A$3:$A$8,0)),"Invalid package"))</f>
        <v/>
      </c>
      <c r="F60" s="12" t="str">
        <f aca="false">IF(D60="","",IFERROR(INDEX('Reference Tables'!$C$3:$C$8,MATCH(D60,'Reference Tables'!$A$3:$A$8,0)),"Invalid package"))</f>
        <v/>
      </c>
      <c r="G60" s="14" t="str">
        <f aca="false">IF(E60="","",'Reference Tables'!$C$16)</f>
        <v/>
      </c>
      <c r="H60" s="12" t="str">
        <f aca="false">IF(E60="","",IF(E60&gt;=150,"Yes","No"))</f>
        <v/>
      </c>
      <c r="I60" s="13" t="str">
        <f aca="false">IF(E60="","",IF(H60="Yes",E60*G60,0))</f>
        <v/>
      </c>
      <c r="J60" s="13" t="str">
        <f aca="false">IF(E60="","",E60-I60)</f>
        <v/>
      </c>
      <c r="K60" s="6"/>
      <c r="L60" s="6"/>
    </row>
    <row r="61" customFormat="false" ht="15" hidden="false" customHeight="false" outlineLevel="0" collapsed="false">
      <c r="A61" s="11"/>
      <c r="B61" s="6"/>
      <c r="C61" s="12" t="str">
        <f aca="false">IF(B61="","",IFERROR(INDEX('Black Registry'!$B$4:$B$103,MATCH(B61,'Black Registry'!$A$4:$A$103,0)),"Not found"))</f>
        <v/>
      </c>
      <c r="D61" s="6"/>
      <c r="E61" s="13" t="str">
        <f aca="false">IF(D61="","",IFERROR(INDEX('Reference Tables'!$B$3:$B$8,MATCH(D61,'Reference Tables'!$A$3:$A$8,0)),"Invalid package"))</f>
        <v/>
      </c>
      <c r="F61" s="12" t="str">
        <f aca="false">IF(D61="","",IFERROR(INDEX('Reference Tables'!$C$3:$C$8,MATCH(D61,'Reference Tables'!$A$3:$A$8,0)),"Invalid package"))</f>
        <v/>
      </c>
      <c r="G61" s="14" t="str">
        <f aca="false">IF(E61="","",'Reference Tables'!$C$16)</f>
        <v/>
      </c>
      <c r="H61" s="12" t="str">
        <f aca="false">IF(E61="","",IF(E61&gt;=150,"Yes","No"))</f>
        <v/>
      </c>
      <c r="I61" s="13" t="str">
        <f aca="false">IF(E61="","",IF(H61="Yes",E61*G61,0))</f>
        <v/>
      </c>
      <c r="J61" s="13" t="str">
        <f aca="false">IF(E61="","",E61-I61)</f>
        <v/>
      </c>
      <c r="K61" s="6"/>
      <c r="L61" s="6"/>
    </row>
    <row r="62" customFormat="false" ht="15" hidden="false" customHeight="false" outlineLevel="0" collapsed="false">
      <c r="A62" s="11"/>
      <c r="B62" s="6"/>
      <c r="C62" s="12" t="str">
        <f aca="false">IF(B62="","",IFERROR(INDEX('Black Registry'!$B$4:$B$103,MATCH(B62,'Black Registry'!$A$4:$A$103,0)),"Not found"))</f>
        <v/>
      </c>
      <c r="D62" s="6"/>
      <c r="E62" s="13" t="str">
        <f aca="false">IF(D62="","",IFERROR(INDEX('Reference Tables'!$B$3:$B$8,MATCH(D62,'Reference Tables'!$A$3:$A$8,0)),"Invalid package"))</f>
        <v/>
      </c>
      <c r="F62" s="12" t="str">
        <f aca="false">IF(D62="","",IFERROR(INDEX('Reference Tables'!$C$3:$C$8,MATCH(D62,'Reference Tables'!$A$3:$A$8,0)),"Invalid package"))</f>
        <v/>
      </c>
      <c r="G62" s="14" t="str">
        <f aca="false">IF(E62="","",'Reference Tables'!$C$16)</f>
        <v/>
      </c>
      <c r="H62" s="12" t="str">
        <f aca="false">IF(E62="","",IF(E62&gt;=150,"Yes","No"))</f>
        <v/>
      </c>
      <c r="I62" s="13" t="str">
        <f aca="false">IF(E62="","",IF(H62="Yes",E62*G62,0))</f>
        <v/>
      </c>
      <c r="J62" s="13" t="str">
        <f aca="false">IF(E62="","",E62-I62)</f>
        <v/>
      </c>
      <c r="K62" s="6"/>
      <c r="L62" s="6"/>
    </row>
    <row r="63" customFormat="false" ht="15" hidden="false" customHeight="false" outlineLevel="0" collapsed="false">
      <c r="A63" s="11"/>
      <c r="B63" s="6"/>
      <c r="C63" s="12" t="str">
        <f aca="false">IF(B63="","",IFERROR(INDEX('Black Registry'!$B$4:$B$103,MATCH(B63,'Black Registry'!$A$4:$A$103,0)),"Not found"))</f>
        <v/>
      </c>
      <c r="D63" s="6"/>
      <c r="E63" s="13" t="str">
        <f aca="false">IF(D63="","",IFERROR(INDEX('Reference Tables'!$B$3:$B$8,MATCH(D63,'Reference Tables'!$A$3:$A$8,0)),"Invalid package"))</f>
        <v/>
      </c>
      <c r="F63" s="12" t="str">
        <f aca="false">IF(D63="","",IFERROR(INDEX('Reference Tables'!$C$3:$C$8,MATCH(D63,'Reference Tables'!$A$3:$A$8,0)),"Invalid package"))</f>
        <v/>
      </c>
      <c r="G63" s="14" t="str">
        <f aca="false">IF(E63="","",'Reference Tables'!$C$16)</f>
        <v/>
      </c>
      <c r="H63" s="12" t="str">
        <f aca="false">IF(E63="","",IF(E63&gt;=150,"Yes","No"))</f>
        <v/>
      </c>
      <c r="I63" s="13" t="str">
        <f aca="false">IF(E63="","",IF(H63="Yes",E63*G63,0))</f>
        <v/>
      </c>
      <c r="J63" s="13" t="str">
        <f aca="false">IF(E63="","",E63-I63)</f>
        <v/>
      </c>
      <c r="K63" s="6"/>
      <c r="L63" s="6"/>
    </row>
    <row r="64" customFormat="false" ht="15" hidden="false" customHeight="false" outlineLevel="0" collapsed="false">
      <c r="A64" s="11"/>
      <c r="B64" s="6"/>
      <c r="C64" s="12" t="str">
        <f aca="false">IF(B64="","",IFERROR(INDEX('Black Registry'!$B$4:$B$103,MATCH(B64,'Black Registry'!$A$4:$A$103,0)),"Not found"))</f>
        <v/>
      </c>
      <c r="D64" s="6"/>
      <c r="E64" s="13" t="str">
        <f aca="false">IF(D64="","",IFERROR(INDEX('Reference Tables'!$B$3:$B$8,MATCH(D64,'Reference Tables'!$A$3:$A$8,0)),"Invalid package"))</f>
        <v/>
      </c>
      <c r="F64" s="12" t="str">
        <f aca="false">IF(D64="","",IFERROR(INDEX('Reference Tables'!$C$3:$C$8,MATCH(D64,'Reference Tables'!$A$3:$A$8,0)),"Invalid package"))</f>
        <v/>
      </c>
      <c r="G64" s="14" t="str">
        <f aca="false">IF(E64="","",'Reference Tables'!$C$16)</f>
        <v/>
      </c>
      <c r="H64" s="12" t="str">
        <f aca="false">IF(E64="","",IF(E64&gt;=150,"Yes","No"))</f>
        <v/>
      </c>
      <c r="I64" s="13" t="str">
        <f aca="false">IF(E64="","",IF(H64="Yes",E64*G64,0))</f>
        <v/>
      </c>
      <c r="J64" s="13" t="str">
        <f aca="false">IF(E64="","",E64-I64)</f>
        <v/>
      </c>
      <c r="K64" s="6"/>
      <c r="L64" s="6"/>
    </row>
    <row r="65" customFormat="false" ht="15" hidden="false" customHeight="false" outlineLevel="0" collapsed="false">
      <c r="A65" s="11"/>
      <c r="B65" s="6"/>
      <c r="C65" s="12" t="str">
        <f aca="false">IF(B65="","",IFERROR(INDEX('Black Registry'!$B$4:$B$103,MATCH(B65,'Black Registry'!$A$4:$A$103,0)),"Not found"))</f>
        <v/>
      </c>
      <c r="D65" s="6"/>
      <c r="E65" s="13" t="str">
        <f aca="false">IF(D65="","",IFERROR(INDEX('Reference Tables'!$B$3:$B$8,MATCH(D65,'Reference Tables'!$A$3:$A$8,0)),"Invalid package"))</f>
        <v/>
      </c>
      <c r="F65" s="12" t="str">
        <f aca="false">IF(D65="","",IFERROR(INDEX('Reference Tables'!$C$3:$C$8,MATCH(D65,'Reference Tables'!$A$3:$A$8,0)),"Invalid package"))</f>
        <v/>
      </c>
      <c r="G65" s="14" t="str">
        <f aca="false">IF(E65="","",'Reference Tables'!$C$16)</f>
        <v/>
      </c>
      <c r="H65" s="12" t="str">
        <f aca="false">IF(E65="","",IF(E65&gt;=150,"Yes","No"))</f>
        <v/>
      </c>
      <c r="I65" s="13" t="str">
        <f aca="false">IF(E65="","",IF(H65="Yes",E65*G65,0))</f>
        <v/>
      </c>
      <c r="J65" s="13" t="str">
        <f aca="false">IF(E65="","",E65-I65)</f>
        <v/>
      </c>
      <c r="K65" s="6"/>
      <c r="L65" s="6"/>
    </row>
    <row r="66" customFormat="false" ht="15" hidden="false" customHeight="false" outlineLevel="0" collapsed="false">
      <c r="A66" s="11"/>
      <c r="B66" s="6"/>
      <c r="C66" s="12" t="str">
        <f aca="false">IF(B66="","",IFERROR(INDEX('Black Registry'!$B$4:$B$103,MATCH(B66,'Black Registry'!$A$4:$A$103,0)),"Not found"))</f>
        <v/>
      </c>
      <c r="D66" s="6"/>
      <c r="E66" s="13" t="str">
        <f aca="false">IF(D66="","",IFERROR(INDEX('Reference Tables'!$B$3:$B$8,MATCH(D66,'Reference Tables'!$A$3:$A$8,0)),"Invalid package"))</f>
        <v/>
      </c>
      <c r="F66" s="12" t="str">
        <f aca="false">IF(D66="","",IFERROR(INDEX('Reference Tables'!$C$3:$C$8,MATCH(D66,'Reference Tables'!$A$3:$A$8,0)),"Invalid package"))</f>
        <v/>
      </c>
      <c r="G66" s="14" t="str">
        <f aca="false">IF(E66="","",'Reference Tables'!$C$16)</f>
        <v/>
      </c>
      <c r="H66" s="12" t="str">
        <f aca="false">IF(E66="","",IF(E66&gt;=150,"Yes","No"))</f>
        <v/>
      </c>
      <c r="I66" s="13" t="str">
        <f aca="false">IF(E66="","",IF(H66="Yes",E66*G66,0))</f>
        <v/>
      </c>
      <c r="J66" s="13" t="str">
        <f aca="false">IF(E66="","",E66-I66)</f>
        <v/>
      </c>
      <c r="K66" s="6"/>
      <c r="L66" s="6"/>
    </row>
    <row r="67" customFormat="false" ht="15" hidden="false" customHeight="false" outlineLevel="0" collapsed="false">
      <c r="A67" s="11"/>
      <c r="B67" s="6"/>
      <c r="C67" s="12" t="str">
        <f aca="false">IF(B67="","",IFERROR(INDEX('Black Registry'!$B$4:$B$103,MATCH(B67,'Black Registry'!$A$4:$A$103,0)),"Not found"))</f>
        <v/>
      </c>
      <c r="D67" s="6"/>
      <c r="E67" s="13" t="str">
        <f aca="false">IF(D67="","",IFERROR(INDEX('Reference Tables'!$B$3:$B$8,MATCH(D67,'Reference Tables'!$A$3:$A$8,0)),"Invalid package"))</f>
        <v/>
      </c>
      <c r="F67" s="12" t="str">
        <f aca="false">IF(D67="","",IFERROR(INDEX('Reference Tables'!$C$3:$C$8,MATCH(D67,'Reference Tables'!$A$3:$A$8,0)),"Invalid package"))</f>
        <v/>
      </c>
      <c r="G67" s="14" t="str">
        <f aca="false">IF(E67="","",'Reference Tables'!$C$16)</f>
        <v/>
      </c>
      <c r="H67" s="12" t="str">
        <f aca="false">IF(E67="","",IF(E67&gt;=150,"Yes","No"))</f>
        <v/>
      </c>
      <c r="I67" s="13" t="str">
        <f aca="false">IF(E67="","",IF(H67="Yes",E67*G67,0))</f>
        <v/>
      </c>
      <c r="J67" s="13" t="str">
        <f aca="false">IF(E67="","",E67-I67)</f>
        <v/>
      </c>
      <c r="K67" s="6"/>
      <c r="L67" s="6"/>
    </row>
    <row r="68" customFormat="false" ht="15" hidden="false" customHeight="false" outlineLevel="0" collapsed="false">
      <c r="A68" s="11"/>
      <c r="B68" s="6"/>
      <c r="C68" s="12" t="str">
        <f aca="false">IF(B68="","",IFERROR(INDEX('Black Registry'!$B$4:$B$103,MATCH(B68,'Black Registry'!$A$4:$A$103,0)),"Not found"))</f>
        <v/>
      </c>
      <c r="D68" s="6"/>
      <c r="E68" s="13" t="str">
        <f aca="false">IF(D68="","",IFERROR(INDEX('Reference Tables'!$B$3:$B$8,MATCH(D68,'Reference Tables'!$A$3:$A$8,0)),"Invalid package"))</f>
        <v/>
      </c>
      <c r="F68" s="12" t="str">
        <f aca="false">IF(D68="","",IFERROR(INDEX('Reference Tables'!$C$3:$C$8,MATCH(D68,'Reference Tables'!$A$3:$A$8,0)),"Invalid package"))</f>
        <v/>
      </c>
      <c r="G68" s="14" t="str">
        <f aca="false">IF(E68="","",'Reference Tables'!$C$16)</f>
        <v/>
      </c>
      <c r="H68" s="12" t="str">
        <f aca="false">IF(E68="","",IF(E68&gt;=150,"Yes","No"))</f>
        <v/>
      </c>
      <c r="I68" s="13" t="str">
        <f aca="false">IF(E68="","",IF(H68="Yes",E68*G68,0))</f>
        <v/>
      </c>
      <c r="J68" s="13" t="str">
        <f aca="false">IF(E68="","",E68-I68)</f>
        <v/>
      </c>
      <c r="K68" s="6"/>
      <c r="L68" s="6"/>
    </row>
    <row r="69" customFormat="false" ht="15" hidden="false" customHeight="false" outlineLevel="0" collapsed="false">
      <c r="A69" s="11"/>
      <c r="B69" s="6"/>
      <c r="C69" s="12" t="str">
        <f aca="false">IF(B69="","",IFERROR(INDEX('Black Registry'!$B$4:$B$103,MATCH(B69,'Black Registry'!$A$4:$A$103,0)),"Not found"))</f>
        <v/>
      </c>
      <c r="D69" s="6"/>
      <c r="E69" s="13" t="str">
        <f aca="false">IF(D69="","",IFERROR(INDEX('Reference Tables'!$B$3:$B$8,MATCH(D69,'Reference Tables'!$A$3:$A$8,0)),"Invalid package"))</f>
        <v/>
      </c>
      <c r="F69" s="12" t="str">
        <f aca="false">IF(D69="","",IFERROR(INDEX('Reference Tables'!$C$3:$C$8,MATCH(D69,'Reference Tables'!$A$3:$A$8,0)),"Invalid package"))</f>
        <v/>
      </c>
      <c r="G69" s="14" t="str">
        <f aca="false">IF(E69="","",'Reference Tables'!$C$16)</f>
        <v/>
      </c>
      <c r="H69" s="12" t="str">
        <f aca="false">IF(E69="","",IF(E69&gt;=150,"Yes","No"))</f>
        <v/>
      </c>
      <c r="I69" s="13" t="str">
        <f aca="false">IF(E69="","",IF(H69="Yes",E69*G69,0))</f>
        <v/>
      </c>
      <c r="J69" s="13" t="str">
        <f aca="false">IF(E69="","",E69-I69)</f>
        <v/>
      </c>
      <c r="K69" s="6"/>
      <c r="L69" s="6"/>
    </row>
    <row r="70" customFormat="false" ht="15" hidden="false" customHeight="false" outlineLevel="0" collapsed="false">
      <c r="A70" s="11"/>
      <c r="B70" s="6"/>
      <c r="C70" s="12" t="str">
        <f aca="false">IF(B70="","",IFERROR(INDEX('Black Registry'!$B$4:$B$103,MATCH(B70,'Black Registry'!$A$4:$A$103,0)),"Not found"))</f>
        <v/>
      </c>
      <c r="D70" s="6"/>
      <c r="E70" s="13" t="str">
        <f aca="false">IF(D70="","",IFERROR(INDEX('Reference Tables'!$B$3:$B$8,MATCH(D70,'Reference Tables'!$A$3:$A$8,0)),"Invalid package"))</f>
        <v/>
      </c>
      <c r="F70" s="12" t="str">
        <f aca="false">IF(D70="","",IFERROR(INDEX('Reference Tables'!$C$3:$C$8,MATCH(D70,'Reference Tables'!$A$3:$A$8,0)),"Invalid package"))</f>
        <v/>
      </c>
      <c r="G70" s="14" t="str">
        <f aca="false">IF(E70="","",'Reference Tables'!$C$16)</f>
        <v/>
      </c>
      <c r="H70" s="12" t="str">
        <f aca="false">IF(E70="","",IF(E70&gt;=150,"Yes","No"))</f>
        <v/>
      </c>
      <c r="I70" s="13" t="str">
        <f aca="false">IF(E70="","",IF(H70="Yes",E70*G70,0))</f>
        <v/>
      </c>
      <c r="J70" s="13" t="str">
        <f aca="false">IF(E70="","",E70-I70)</f>
        <v/>
      </c>
      <c r="K70" s="6"/>
      <c r="L70" s="6"/>
    </row>
    <row r="71" customFormat="false" ht="15" hidden="false" customHeight="false" outlineLevel="0" collapsed="false">
      <c r="A71" s="11"/>
      <c r="B71" s="6"/>
      <c r="C71" s="12" t="str">
        <f aca="false">IF(B71="","",IFERROR(INDEX('Black Registry'!$B$4:$B$103,MATCH(B71,'Black Registry'!$A$4:$A$103,0)),"Not found"))</f>
        <v/>
      </c>
      <c r="D71" s="6"/>
      <c r="E71" s="13" t="str">
        <f aca="false">IF(D71="","",IFERROR(INDEX('Reference Tables'!$B$3:$B$8,MATCH(D71,'Reference Tables'!$A$3:$A$8,0)),"Invalid package"))</f>
        <v/>
      </c>
      <c r="F71" s="12" t="str">
        <f aca="false">IF(D71="","",IFERROR(INDEX('Reference Tables'!$C$3:$C$8,MATCH(D71,'Reference Tables'!$A$3:$A$8,0)),"Invalid package"))</f>
        <v/>
      </c>
      <c r="G71" s="14" t="str">
        <f aca="false">IF(E71="","",'Reference Tables'!$C$16)</f>
        <v/>
      </c>
      <c r="H71" s="12" t="str">
        <f aca="false">IF(E71="","",IF(E71&gt;=150,"Yes","No"))</f>
        <v/>
      </c>
      <c r="I71" s="13" t="str">
        <f aca="false">IF(E71="","",IF(H71="Yes",E71*G71,0))</f>
        <v/>
      </c>
      <c r="J71" s="13" t="str">
        <f aca="false">IF(E71="","",E71-I71)</f>
        <v/>
      </c>
      <c r="K71" s="6"/>
      <c r="L71" s="6"/>
    </row>
    <row r="72" customFormat="false" ht="15" hidden="false" customHeight="false" outlineLevel="0" collapsed="false">
      <c r="A72" s="11"/>
      <c r="B72" s="6"/>
      <c r="C72" s="12" t="str">
        <f aca="false">IF(B72="","",IFERROR(INDEX('Black Registry'!$B$4:$B$103,MATCH(B72,'Black Registry'!$A$4:$A$103,0)),"Not found"))</f>
        <v/>
      </c>
      <c r="D72" s="6"/>
      <c r="E72" s="13" t="str">
        <f aca="false">IF(D72="","",IFERROR(INDEX('Reference Tables'!$B$3:$B$8,MATCH(D72,'Reference Tables'!$A$3:$A$8,0)),"Invalid package"))</f>
        <v/>
      </c>
      <c r="F72" s="12" t="str">
        <f aca="false">IF(D72="","",IFERROR(INDEX('Reference Tables'!$C$3:$C$8,MATCH(D72,'Reference Tables'!$A$3:$A$8,0)),"Invalid package"))</f>
        <v/>
      </c>
      <c r="G72" s="14" t="str">
        <f aca="false">IF(E72="","",'Reference Tables'!$C$16)</f>
        <v/>
      </c>
      <c r="H72" s="12" t="str">
        <f aca="false">IF(E72="","",IF(E72&gt;=150,"Yes","No"))</f>
        <v/>
      </c>
      <c r="I72" s="13" t="str">
        <f aca="false">IF(E72="","",IF(H72="Yes",E72*G72,0))</f>
        <v/>
      </c>
      <c r="J72" s="13" t="str">
        <f aca="false">IF(E72="","",E72-I72)</f>
        <v/>
      </c>
      <c r="K72" s="6"/>
      <c r="L72" s="6"/>
    </row>
    <row r="73" customFormat="false" ht="15" hidden="false" customHeight="false" outlineLevel="0" collapsed="false">
      <c r="A73" s="11"/>
      <c r="B73" s="6"/>
      <c r="C73" s="12" t="str">
        <f aca="false">IF(B73="","",IFERROR(INDEX('Black Registry'!$B$4:$B$103,MATCH(B73,'Black Registry'!$A$4:$A$103,0)),"Not found"))</f>
        <v/>
      </c>
      <c r="D73" s="6"/>
      <c r="E73" s="13" t="str">
        <f aca="false">IF(D73="","",IFERROR(INDEX('Reference Tables'!$B$3:$B$8,MATCH(D73,'Reference Tables'!$A$3:$A$8,0)),"Invalid package"))</f>
        <v/>
      </c>
      <c r="F73" s="12" t="str">
        <f aca="false">IF(D73="","",IFERROR(INDEX('Reference Tables'!$C$3:$C$8,MATCH(D73,'Reference Tables'!$A$3:$A$8,0)),"Invalid package"))</f>
        <v/>
      </c>
      <c r="G73" s="14" t="str">
        <f aca="false">IF(E73="","",'Reference Tables'!$C$16)</f>
        <v/>
      </c>
      <c r="H73" s="12" t="str">
        <f aca="false">IF(E73="","",IF(E73&gt;=150,"Yes","No"))</f>
        <v/>
      </c>
      <c r="I73" s="13" t="str">
        <f aca="false">IF(E73="","",IF(H73="Yes",E73*G73,0))</f>
        <v/>
      </c>
      <c r="J73" s="13" t="str">
        <f aca="false">IF(E73="","",E73-I73)</f>
        <v/>
      </c>
      <c r="K73" s="6"/>
      <c r="L73" s="6"/>
    </row>
    <row r="74" customFormat="false" ht="15" hidden="false" customHeight="false" outlineLevel="0" collapsed="false">
      <c r="A74" s="11"/>
      <c r="B74" s="6"/>
      <c r="C74" s="12" t="str">
        <f aca="false">IF(B74="","",IFERROR(INDEX('Black Registry'!$B$4:$B$103,MATCH(B74,'Black Registry'!$A$4:$A$103,0)),"Not found"))</f>
        <v/>
      </c>
      <c r="D74" s="6"/>
      <c r="E74" s="13" t="str">
        <f aca="false">IF(D74="","",IFERROR(INDEX('Reference Tables'!$B$3:$B$8,MATCH(D74,'Reference Tables'!$A$3:$A$8,0)),"Invalid package"))</f>
        <v/>
      </c>
      <c r="F74" s="12" t="str">
        <f aca="false">IF(D74="","",IFERROR(INDEX('Reference Tables'!$C$3:$C$8,MATCH(D74,'Reference Tables'!$A$3:$A$8,0)),"Invalid package"))</f>
        <v/>
      </c>
      <c r="G74" s="14" t="str">
        <f aca="false">IF(E74="","",'Reference Tables'!$C$16)</f>
        <v/>
      </c>
      <c r="H74" s="12" t="str">
        <f aca="false">IF(E74="","",IF(E74&gt;=150,"Yes","No"))</f>
        <v/>
      </c>
      <c r="I74" s="13" t="str">
        <f aca="false">IF(E74="","",IF(H74="Yes",E74*G74,0))</f>
        <v/>
      </c>
      <c r="J74" s="13" t="str">
        <f aca="false">IF(E74="","",E74-I74)</f>
        <v/>
      </c>
      <c r="K74" s="6"/>
      <c r="L74" s="6"/>
    </row>
    <row r="75" customFormat="false" ht="15" hidden="false" customHeight="false" outlineLevel="0" collapsed="false">
      <c r="A75" s="11"/>
      <c r="B75" s="6"/>
      <c r="C75" s="12" t="str">
        <f aca="false">IF(B75="","",IFERROR(INDEX('Black Registry'!$B$4:$B$103,MATCH(B75,'Black Registry'!$A$4:$A$103,0)),"Not found"))</f>
        <v/>
      </c>
      <c r="D75" s="6"/>
      <c r="E75" s="13" t="str">
        <f aca="false">IF(D75="","",IFERROR(INDEX('Reference Tables'!$B$3:$B$8,MATCH(D75,'Reference Tables'!$A$3:$A$8,0)),"Invalid package"))</f>
        <v/>
      </c>
      <c r="F75" s="12" t="str">
        <f aca="false">IF(D75="","",IFERROR(INDEX('Reference Tables'!$C$3:$C$8,MATCH(D75,'Reference Tables'!$A$3:$A$8,0)),"Invalid package"))</f>
        <v/>
      </c>
      <c r="G75" s="14" t="str">
        <f aca="false">IF(E75="","",'Reference Tables'!$C$16)</f>
        <v/>
      </c>
      <c r="H75" s="12" t="str">
        <f aca="false">IF(E75="","",IF(E75&gt;=150,"Yes","No"))</f>
        <v/>
      </c>
      <c r="I75" s="13" t="str">
        <f aca="false">IF(E75="","",IF(H75="Yes",E75*G75,0))</f>
        <v/>
      </c>
      <c r="J75" s="13" t="str">
        <f aca="false">IF(E75="","",E75-I75)</f>
        <v/>
      </c>
      <c r="K75" s="6"/>
      <c r="L75" s="6"/>
    </row>
    <row r="76" customFormat="false" ht="15" hidden="false" customHeight="false" outlineLevel="0" collapsed="false">
      <c r="A76" s="11"/>
      <c r="B76" s="6"/>
      <c r="C76" s="12" t="str">
        <f aca="false">IF(B76="","",IFERROR(INDEX('Black Registry'!$B$4:$B$103,MATCH(B76,'Black Registry'!$A$4:$A$103,0)),"Not found"))</f>
        <v/>
      </c>
      <c r="D76" s="6"/>
      <c r="E76" s="13" t="str">
        <f aca="false">IF(D76="","",IFERROR(INDEX('Reference Tables'!$B$3:$B$8,MATCH(D76,'Reference Tables'!$A$3:$A$8,0)),"Invalid package"))</f>
        <v/>
      </c>
      <c r="F76" s="12" t="str">
        <f aca="false">IF(D76="","",IFERROR(INDEX('Reference Tables'!$C$3:$C$8,MATCH(D76,'Reference Tables'!$A$3:$A$8,0)),"Invalid package"))</f>
        <v/>
      </c>
      <c r="G76" s="14" t="str">
        <f aca="false">IF(E76="","",'Reference Tables'!$C$16)</f>
        <v/>
      </c>
      <c r="H76" s="12" t="str">
        <f aca="false">IF(E76="","",IF(E76&gt;=150,"Yes","No"))</f>
        <v/>
      </c>
      <c r="I76" s="13" t="str">
        <f aca="false">IF(E76="","",IF(H76="Yes",E76*G76,0))</f>
        <v/>
      </c>
      <c r="J76" s="13" t="str">
        <f aca="false">IF(E76="","",E76-I76)</f>
        <v/>
      </c>
      <c r="K76" s="6"/>
      <c r="L76" s="6"/>
    </row>
    <row r="77" customFormat="false" ht="15" hidden="false" customHeight="false" outlineLevel="0" collapsed="false">
      <c r="A77" s="11"/>
      <c r="B77" s="6"/>
      <c r="C77" s="12" t="str">
        <f aca="false">IF(B77="","",IFERROR(INDEX('Black Registry'!$B$4:$B$103,MATCH(B77,'Black Registry'!$A$4:$A$103,0)),"Not found"))</f>
        <v/>
      </c>
      <c r="D77" s="6"/>
      <c r="E77" s="13" t="str">
        <f aca="false">IF(D77="","",IFERROR(INDEX('Reference Tables'!$B$3:$B$8,MATCH(D77,'Reference Tables'!$A$3:$A$8,0)),"Invalid package"))</f>
        <v/>
      </c>
      <c r="F77" s="12" t="str">
        <f aca="false">IF(D77="","",IFERROR(INDEX('Reference Tables'!$C$3:$C$8,MATCH(D77,'Reference Tables'!$A$3:$A$8,0)),"Invalid package"))</f>
        <v/>
      </c>
      <c r="G77" s="14" t="str">
        <f aca="false">IF(E77="","",'Reference Tables'!$C$16)</f>
        <v/>
      </c>
      <c r="H77" s="12" t="str">
        <f aca="false">IF(E77="","",IF(E77&gt;=150,"Yes","No"))</f>
        <v/>
      </c>
      <c r="I77" s="13" t="str">
        <f aca="false">IF(E77="","",IF(H77="Yes",E77*G77,0))</f>
        <v/>
      </c>
      <c r="J77" s="13" t="str">
        <f aca="false">IF(E77="","",E77-I77)</f>
        <v/>
      </c>
      <c r="K77" s="6"/>
      <c r="L77" s="6"/>
    </row>
    <row r="78" customFormat="false" ht="15" hidden="false" customHeight="false" outlineLevel="0" collapsed="false">
      <c r="A78" s="11"/>
      <c r="B78" s="6"/>
      <c r="C78" s="12" t="str">
        <f aca="false">IF(B78="","",IFERROR(INDEX('Black Registry'!$B$4:$B$103,MATCH(B78,'Black Registry'!$A$4:$A$103,0)),"Not found"))</f>
        <v/>
      </c>
      <c r="D78" s="6"/>
      <c r="E78" s="13" t="str">
        <f aca="false">IF(D78="","",IFERROR(INDEX('Reference Tables'!$B$3:$B$8,MATCH(D78,'Reference Tables'!$A$3:$A$8,0)),"Invalid package"))</f>
        <v/>
      </c>
      <c r="F78" s="12" t="str">
        <f aca="false">IF(D78="","",IFERROR(INDEX('Reference Tables'!$C$3:$C$8,MATCH(D78,'Reference Tables'!$A$3:$A$8,0)),"Invalid package"))</f>
        <v/>
      </c>
      <c r="G78" s="14" t="str">
        <f aca="false">IF(E78="","",'Reference Tables'!$C$16)</f>
        <v/>
      </c>
      <c r="H78" s="12" t="str">
        <f aca="false">IF(E78="","",IF(E78&gt;=150,"Yes","No"))</f>
        <v/>
      </c>
      <c r="I78" s="13" t="str">
        <f aca="false">IF(E78="","",IF(H78="Yes",E78*G78,0))</f>
        <v/>
      </c>
      <c r="J78" s="13" t="str">
        <f aca="false">IF(E78="","",E78-I78)</f>
        <v/>
      </c>
      <c r="K78" s="6"/>
      <c r="L78" s="6"/>
    </row>
    <row r="79" customFormat="false" ht="15" hidden="false" customHeight="false" outlineLevel="0" collapsed="false">
      <c r="A79" s="11"/>
      <c r="B79" s="6"/>
      <c r="C79" s="12" t="str">
        <f aca="false">IF(B79="","",IFERROR(INDEX('Black Registry'!$B$4:$B$103,MATCH(B79,'Black Registry'!$A$4:$A$103,0)),"Not found"))</f>
        <v/>
      </c>
      <c r="D79" s="6"/>
      <c r="E79" s="13" t="str">
        <f aca="false">IF(D79="","",IFERROR(INDEX('Reference Tables'!$B$3:$B$8,MATCH(D79,'Reference Tables'!$A$3:$A$8,0)),"Invalid package"))</f>
        <v/>
      </c>
      <c r="F79" s="12" t="str">
        <f aca="false">IF(D79="","",IFERROR(INDEX('Reference Tables'!$C$3:$C$8,MATCH(D79,'Reference Tables'!$A$3:$A$8,0)),"Invalid package"))</f>
        <v/>
      </c>
      <c r="G79" s="14" t="str">
        <f aca="false">IF(E79="","",'Reference Tables'!$C$16)</f>
        <v/>
      </c>
      <c r="H79" s="12" t="str">
        <f aca="false">IF(E79="","",IF(E79&gt;=150,"Yes","No"))</f>
        <v/>
      </c>
      <c r="I79" s="13" t="str">
        <f aca="false">IF(E79="","",IF(H79="Yes",E79*G79,0))</f>
        <v/>
      </c>
      <c r="J79" s="13" t="str">
        <f aca="false">IF(E79="","",E79-I79)</f>
        <v/>
      </c>
      <c r="K79" s="6"/>
      <c r="L79" s="6"/>
    </row>
    <row r="80" customFormat="false" ht="15" hidden="false" customHeight="false" outlineLevel="0" collapsed="false">
      <c r="A80" s="11"/>
      <c r="B80" s="6"/>
      <c r="C80" s="12" t="str">
        <f aca="false">IF(B80="","",IFERROR(INDEX('Black Registry'!$B$4:$B$103,MATCH(B80,'Black Registry'!$A$4:$A$103,0)),"Not found"))</f>
        <v/>
      </c>
      <c r="D80" s="6"/>
      <c r="E80" s="13" t="str">
        <f aca="false">IF(D80="","",IFERROR(INDEX('Reference Tables'!$B$3:$B$8,MATCH(D80,'Reference Tables'!$A$3:$A$8,0)),"Invalid package"))</f>
        <v/>
      </c>
      <c r="F80" s="12" t="str">
        <f aca="false">IF(D80="","",IFERROR(INDEX('Reference Tables'!$C$3:$C$8,MATCH(D80,'Reference Tables'!$A$3:$A$8,0)),"Invalid package"))</f>
        <v/>
      </c>
      <c r="G80" s="14" t="str">
        <f aca="false">IF(E80="","",'Reference Tables'!$C$16)</f>
        <v/>
      </c>
      <c r="H80" s="12" t="str">
        <f aca="false">IF(E80="","",IF(E80&gt;=150,"Yes","No"))</f>
        <v/>
      </c>
      <c r="I80" s="13" t="str">
        <f aca="false">IF(E80="","",IF(H80="Yes",E80*G80,0))</f>
        <v/>
      </c>
      <c r="J80" s="13" t="str">
        <f aca="false">IF(E80="","",E80-I80)</f>
        <v/>
      </c>
      <c r="K80" s="6"/>
      <c r="L80" s="6"/>
    </row>
    <row r="81" customFormat="false" ht="15" hidden="false" customHeight="false" outlineLevel="0" collapsed="false">
      <c r="A81" s="11"/>
      <c r="B81" s="6"/>
      <c r="C81" s="12" t="str">
        <f aca="false">IF(B81="","",IFERROR(INDEX('Black Registry'!$B$4:$B$103,MATCH(B81,'Black Registry'!$A$4:$A$103,0)),"Not found"))</f>
        <v/>
      </c>
      <c r="D81" s="6"/>
      <c r="E81" s="13" t="str">
        <f aca="false">IF(D81="","",IFERROR(INDEX('Reference Tables'!$B$3:$B$8,MATCH(D81,'Reference Tables'!$A$3:$A$8,0)),"Invalid package"))</f>
        <v/>
      </c>
      <c r="F81" s="12" t="str">
        <f aca="false">IF(D81="","",IFERROR(INDEX('Reference Tables'!$C$3:$C$8,MATCH(D81,'Reference Tables'!$A$3:$A$8,0)),"Invalid package"))</f>
        <v/>
      </c>
      <c r="G81" s="14" t="str">
        <f aca="false">IF(E81="","",'Reference Tables'!$C$16)</f>
        <v/>
      </c>
      <c r="H81" s="12" t="str">
        <f aca="false">IF(E81="","",IF(E81&gt;=150,"Yes","No"))</f>
        <v/>
      </c>
      <c r="I81" s="13" t="str">
        <f aca="false">IF(E81="","",IF(H81="Yes",E81*G81,0))</f>
        <v/>
      </c>
      <c r="J81" s="13" t="str">
        <f aca="false">IF(E81="","",E81-I81)</f>
        <v/>
      </c>
      <c r="K81" s="6"/>
      <c r="L81" s="6"/>
    </row>
    <row r="82" customFormat="false" ht="15" hidden="false" customHeight="false" outlineLevel="0" collapsed="false">
      <c r="A82" s="11"/>
      <c r="B82" s="6"/>
      <c r="C82" s="12" t="str">
        <f aca="false">IF(B82="","",IFERROR(INDEX('Black Registry'!$B$4:$B$103,MATCH(B82,'Black Registry'!$A$4:$A$103,0)),"Not found"))</f>
        <v/>
      </c>
      <c r="D82" s="6"/>
      <c r="E82" s="13" t="str">
        <f aca="false">IF(D82="","",IFERROR(INDEX('Reference Tables'!$B$3:$B$8,MATCH(D82,'Reference Tables'!$A$3:$A$8,0)),"Invalid package"))</f>
        <v/>
      </c>
      <c r="F82" s="12" t="str">
        <f aca="false">IF(D82="","",IFERROR(INDEX('Reference Tables'!$C$3:$C$8,MATCH(D82,'Reference Tables'!$A$3:$A$8,0)),"Invalid package"))</f>
        <v/>
      </c>
      <c r="G82" s="14" t="str">
        <f aca="false">IF(E82="","",'Reference Tables'!$C$16)</f>
        <v/>
      </c>
      <c r="H82" s="12" t="str">
        <f aca="false">IF(E82="","",IF(E82&gt;=150,"Yes","No"))</f>
        <v/>
      </c>
      <c r="I82" s="13" t="str">
        <f aca="false">IF(E82="","",IF(H82="Yes",E82*G82,0))</f>
        <v/>
      </c>
      <c r="J82" s="13" t="str">
        <f aca="false">IF(E82="","",E82-I82)</f>
        <v/>
      </c>
      <c r="K82" s="6"/>
      <c r="L82" s="6"/>
    </row>
    <row r="83" customFormat="false" ht="15" hidden="false" customHeight="false" outlineLevel="0" collapsed="false">
      <c r="A83" s="11"/>
      <c r="B83" s="6"/>
      <c r="C83" s="12" t="str">
        <f aca="false">IF(B83="","",IFERROR(INDEX('Black Registry'!$B$4:$B$103,MATCH(B83,'Black Registry'!$A$4:$A$103,0)),"Not found"))</f>
        <v/>
      </c>
      <c r="D83" s="6"/>
      <c r="E83" s="13" t="str">
        <f aca="false">IF(D83="","",IFERROR(INDEX('Reference Tables'!$B$3:$B$8,MATCH(D83,'Reference Tables'!$A$3:$A$8,0)),"Invalid package"))</f>
        <v/>
      </c>
      <c r="F83" s="12" t="str">
        <f aca="false">IF(D83="","",IFERROR(INDEX('Reference Tables'!$C$3:$C$8,MATCH(D83,'Reference Tables'!$A$3:$A$8,0)),"Invalid package"))</f>
        <v/>
      </c>
      <c r="G83" s="14" t="str">
        <f aca="false">IF(E83="","",'Reference Tables'!$C$16)</f>
        <v/>
      </c>
      <c r="H83" s="12" t="str">
        <f aca="false">IF(E83="","",IF(E83&gt;=150,"Yes","No"))</f>
        <v/>
      </c>
      <c r="I83" s="13" t="str">
        <f aca="false">IF(E83="","",IF(H83="Yes",E83*G83,0))</f>
        <v/>
      </c>
      <c r="J83" s="13" t="str">
        <f aca="false">IF(E83="","",E83-I83)</f>
        <v/>
      </c>
      <c r="K83" s="6"/>
      <c r="L83" s="6"/>
    </row>
    <row r="84" customFormat="false" ht="15" hidden="false" customHeight="false" outlineLevel="0" collapsed="false">
      <c r="A84" s="11"/>
      <c r="B84" s="6"/>
      <c r="C84" s="12" t="str">
        <f aca="false">IF(B84="","",IFERROR(INDEX('Black Registry'!$B$4:$B$103,MATCH(B84,'Black Registry'!$A$4:$A$103,0)),"Not found"))</f>
        <v/>
      </c>
      <c r="D84" s="6"/>
      <c r="E84" s="13" t="str">
        <f aca="false">IF(D84="","",IFERROR(INDEX('Reference Tables'!$B$3:$B$8,MATCH(D84,'Reference Tables'!$A$3:$A$8,0)),"Invalid package"))</f>
        <v/>
      </c>
      <c r="F84" s="12" t="str">
        <f aca="false">IF(D84="","",IFERROR(INDEX('Reference Tables'!$C$3:$C$8,MATCH(D84,'Reference Tables'!$A$3:$A$8,0)),"Invalid package"))</f>
        <v/>
      </c>
      <c r="G84" s="14" t="str">
        <f aca="false">IF(E84="","",'Reference Tables'!$C$16)</f>
        <v/>
      </c>
      <c r="H84" s="12" t="str">
        <f aca="false">IF(E84="","",IF(E84&gt;=150,"Yes","No"))</f>
        <v/>
      </c>
      <c r="I84" s="13" t="str">
        <f aca="false">IF(E84="","",IF(H84="Yes",E84*G84,0))</f>
        <v/>
      </c>
      <c r="J84" s="13" t="str">
        <f aca="false">IF(E84="","",E84-I84)</f>
        <v/>
      </c>
      <c r="K84" s="6"/>
      <c r="L84" s="6"/>
    </row>
    <row r="85" customFormat="false" ht="15" hidden="false" customHeight="false" outlineLevel="0" collapsed="false">
      <c r="A85" s="11"/>
      <c r="B85" s="6"/>
      <c r="C85" s="12" t="str">
        <f aca="false">IF(B85="","",IFERROR(INDEX('Black Registry'!$B$4:$B$103,MATCH(B85,'Black Registry'!$A$4:$A$103,0)),"Not found"))</f>
        <v/>
      </c>
      <c r="D85" s="6"/>
      <c r="E85" s="13" t="str">
        <f aca="false">IF(D85="","",IFERROR(INDEX('Reference Tables'!$B$3:$B$8,MATCH(D85,'Reference Tables'!$A$3:$A$8,0)),"Invalid package"))</f>
        <v/>
      </c>
      <c r="F85" s="12" t="str">
        <f aca="false">IF(D85="","",IFERROR(INDEX('Reference Tables'!$C$3:$C$8,MATCH(D85,'Reference Tables'!$A$3:$A$8,0)),"Invalid package"))</f>
        <v/>
      </c>
      <c r="G85" s="14" t="str">
        <f aca="false">IF(E85="","",'Reference Tables'!$C$16)</f>
        <v/>
      </c>
      <c r="H85" s="12" t="str">
        <f aca="false">IF(E85="","",IF(E85&gt;=150,"Yes","No"))</f>
        <v/>
      </c>
      <c r="I85" s="13" t="str">
        <f aca="false">IF(E85="","",IF(H85="Yes",E85*G85,0))</f>
        <v/>
      </c>
      <c r="J85" s="13" t="str">
        <f aca="false">IF(E85="","",E85-I85)</f>
        <v/>
      </c>
      <c r="K85" s="6"/>
      <c r="L85" s="6"/>
    </row>
    <row r="86" customFormat="false" ht="15" hidden="false" customHeight="false" outlineLevel="0" collapsed="false">
      <c r="A86" s="11"/>
      <c r="B86" s="6"/>
      <c r="C86" s="12" t="str">
        <f aca="false">IF(B86="","",IFERROR(INDEX('Black Registry'!$B$4:$B$103,MATCH(B86,'Black Registry'!$A$4:$A$103,0)),"Not found"))</f>
        <v/>
      </c>
      <c r="D86" s="6"/>
      <c r="E86" s="13" t="str">
        <f aca="false">IF(D86="","",IFERROR(INDEX('Reference Tables'!$B$3:$B$8,MATCH(D86,'Reference Tables'!$A$3:$A$8,0)),"Invalid package"))</f>
        <v/>
      </c>
      <c r="F86" s="12" t="str">
        <f aca="false">IF(D86="","",IFERROR(INDEX('Reference Tables'!$C$3:$C$8,MATCH(D86,'Reference Tables'!$A$3:$A$8,0)),"Invalid package"))</f>
        <v/>
      </c>
      <c r="G86" s="14" t="str">
        <f aca="false">IF(E86="","",'Reference Tables'!$C$16)</f>
        <v/>
      </c>
      <c r="H86" s="12" t="str">
        <f aca="false">IF(E86="","",IF(E86&gt;=150,"Yes","No"))</f>
        <v/>
      </c>
      <c r="I86" s="13" t="str">
        <f aca="false">IF(E86="","",IF(H86="Yes",E86*G86,0))</f>
        <v/>
      </c>
      <c r="J86" s="13" t="str">
        <f aca="false">IF(E86="","",E86-I86)</f>
        <v/>
      </c>
      <c r="K86" s="6"/>
      <c r="L86" s="6"/>
    </row>
    <row r="87" customFormat="false" ht="15" hidden="false" customHeight="false" outlineLevel="0" collapsed="false">
      <c r="A87" s="11"/>
      <c r="B87" s="6"/>
      <c r="C87" s="12" t="str">
        <f aca="false">IF(B87="","",IFERROR(INDEX('Black Registry'!$B$4:$B$103,MATCH(B87,'Black Registry'!$A$4:$A$103,0)),"Not found"))</f>
        <v/>
      </c>
      <c r="D87" s="6"/>
      <c r="E87" s="13" t="str">
        <f aca="false">IF(D87="","",IFERROR(INDEX('Reference Tables'!$B$3:$B$8,MATCH(D87,'Reference Tables'!$A$3:$A$8,0)),"Invalid package"))</f>
        <v/>
      </c>
      <c r="F87" s="12" t="str">
        <f aca="false">IF(D87="","",IFERROR(INDEX('Reference Tables'!$C$3:$C$8,MATCH(D87,'Reference Tables'!$A$3:$A$8,0)),"Invalid package"))</f>
        <v/>
      </c>
      <c r="G87" s="14" t="str">
        <f aca="false">IF(E87="","",'Reference Tables'!$C$16)</f>
        <v/>
      </c>
      <c r="H87" s="12" t="str">
        <f aca="false">IF(E87="","",IF(E87&gt;=150,"Yes","No"))</f>
        <v/>
      </c>
      <c r="I87" s="13" t="str">
        <f aca="false">IF(E87="","",IF(H87="Yes",E87*G87,0))</f>
        <v/>
      </c>
      <c r="J87" s="13" t="str">
        <f aca="false">IF(E87="","",E87-I87)</f>
        <v/>
      </c>
      <c r="K87" s="6"/>
      <c r="L87" s="6"/>
    </row>
    <row r="88" customFormat="false" ht="15" hidden="false" customHeight="false" outlineLevel="0" collapsed="false">
      <c r="A88" s="11"/>
      <c r="B88" s="6"/>
      <c r="C88" s="12" t="str">
        <f aca="false">IF(B88="","",IFERROR(INDEX('Black Registry'!$B$4:$B$103,MATCH(B88,'Black Registry'!$A$4:$A$103,0)),"Not found"))</f>
        <v/>
      </c>
      <c r="D88" s="6"/>
      <c r="E88" s="13" t="str">
        <f aca="false">IF(D88="","",IFERROR(INDEX('Reference Tables'!$B$3:$B$8,MATCH(D88,'Reference Tables'!$A$3:$A$8,0)),"Invalid package"))</f>
        <v/>
      </c>
      <c r="F88" s="12" t="str">
        <f aca="false">IF(D88="","",IFERROR(INDEX('Reference Tables'!$C$3:$C$8,MATCH(D88,'Reference Tables'!$A$3:$A$8,0)),"Invalid package"))</f>
        <v/>
      </c>
      <c r="G88" s="14" t="str">
        <f aca="false">IF(E88="","",'Reference Tables'!$C$16)</f>
        <v/>
      </c>
      <c r="H88" s="12" t="str">
        <f aca="false">IF(E88="","",IF(E88&gt;=150,"Yes","No"))</f>
        <v/>
      </c>
      <c r="I88" s="13" t="str">
        <f aca="false">IF(E88="","",IF(H88="Yes",E88*G88,0))</f>
        <v/>
      </c>
      <c r="J88" s="13" t="str">
        <f aca="false">IF(E88="","",E88-I88)</f>
        <v/>
      </c>
      <c r="K88" s="6"/>
      <c r="L88" s="6"/>
    </row>
    <row r="89" customFormat="false" ht="15" hidden="false" customHeight="false" outlineLevel="0" collapsed="false">
      <c r="A89" s="11"/>
      <c r="B89" s="6"/>
      <c r="C89" s="12" t="str">
        <f aca="false">IF(B89="","",IFERROR(INDEX('Black Registry'!$B$4:$B$103,MATCH(B89,'Black Registry'!$A$4:$A$103,0)),"Not found"))</f>
        <v/>
      </c>
      <c r="D89" s="6"/>
      <c r="E89" s="13" t="str">
        <f aca="false">IF(D89="","",IFERROR(INDEX('Reference Tables'!$B$3:$B$8,MATCH(D89,'Reference Tables'!$A$3:$A$8,0)),"Invalid package"))</f>
        <v/>
      </c>
      <c r="F89" s="12" t="str">
        <f aca="false">IF(D89="","",IFERROR(INDEX('Reference Tables'!$C$3:$C$8,MATCH(D89,'Reference Tables'!$A$3:$A$8,0)),"Invalid package"))</f>
        <v/>
      </c>
      <c r="G89" s="14" t="str">
        <f aca="false">IF(E89="","",'Reference Tables'!$C$16)</f>
        <v/>
      </c>
      <c r="H89" s="12" t="str">
        <f aca="false">IF(E89="","",IF(E89&gt;=150,"Yes","No"))</f>
        <v/>
      </c>
      <c r="I89" s="13" t="str">
        <f aca="false">IF(E89="","",IF(H89="Yes",E89*G89,0))</f>
        <v/>
      </c>
      <c r="J89" s="13" t="str">
        <f aca="false">IF(E89="","",E89-I89)</f>
        <v/>
      </c>
      <c r="K89" s="6"/>
      <c r="L89" s="6"/>
    </row>
    <row r="90" customFormat="false" ht="15" hidden="false" customHeight="false" outlineLevel="0" collapsed="false">
      <c r="A90" s="11"/>
      <c r="B90" s="6"/>
      <c r="C90" s="12" t="str">
        <f aca="false">IF(B90="","",IFERROR(INDEX('Black Registry'!$B$4:$B$103,MATCH(B90,'Black Registry'!$A$4:$A$103,0)),"Not found"))</f>
        <v/>
      </c>
      <c r="D90" s="6"/>
      <c r="E90" s="13" t="str">
        <f aca="false">IF(D90="","",IFERROR(INDEX('Reference Tables'!$B$3:$B$8,MATCH(D90,'Reference Tables'!$A$3:$A$8,0)),"Invalid package"))</f>
        <v/>
      </c>
      <c r="F90" s="12" t="str">
        <f aca="false">IF(D90="","",IFERROR(INDEX('Reference Tables'!$C$3:$C$8,MATCH(D90,'Reference Tables'!$A$3:$A$8,0)),"Invalid package"))</f>
        <v/>
      </c>
      <c r="G90" s="14" t="str">
        <f aca="false">IF(E90="","",'Reference Tables'!$C$16)</f>
        <v/>
      </c>
      <c r="H90" s="12" t="str">
        <f aca="false">IF(E90="","",IF(E90&gt;=150,"Yes","No"))</f>
        <v/>
      </c>
      <c r="I90" s="13" t="str">
        <f aca="false">IF(E90="","",IF(H90="Yes",E90*G90,0))</f>
        <v/>
      </c>
      <c r="J90" s="13" t="str">
        <f aca="false">IF(E90="","",E90-I90)</f>
        <v/>
      </c>
      <c r="K90" s="6"/>
      <c r="L90" s="6"/>
    </row>
    <row r="91" customFormat="false" ht="15" hidden="false" customHeight="false" outlineLevel="0" collapsed="false">
      <c r="A91" s="11"/>
      <c r="B91" s="6"/>
      <c r="C91" s="12" t="str">
        <f aca="false">IF(B91="","",IFERROR(INDEX('Black Registry'!$B$4:$B$103,MATCH(B91,'Black Registry'!$A$4:$A$103,0)),"Not found"))</f>
        <v/>
      </c>
      <c r="D91" s="6"/>
      <c r="E91" s="13" t="str">
        <f aca="false">IF(D91="","",IFERROR(INDEX('Reference Tables'!$B$3:$B$8,MATCH(D91,'Reference Tables'!$A$3:$A$8,0)),"Invalid package"))</f>
        <v/>
      </c>
      <c r="F91" s="12" t="str">
        <f aca="false">IF(D91="","",IFERROR(INDEX('Reference Tables'!$C$3:$C$8,MATCH(D91,'Reference Tables'!$A$3:$A$8,0)),"Invalid package"))</f>
        <v/>
      </c>
      <c r="G91" s="14" t="str">
        <f aca="false">IF(E91="","",'Reference Tables'!$C$16)</f>
        <v/>
      </c>
      <c r="H91" s="12" t="str">
        <f aca="false">IF(E91="","",IF(E91&gt;=150,"Yes","No"))</f>
        <v/>
      </c>
      <c r="I91" s="13" t="str">
        <f aca="false">IF(E91="","",IF(H91="Yes",E91*G91,0))</f>
        <v/>
      </c>
      <c r="J91" s="13" t="str">
        <f aca="false">IF(E91="","",E91-I91)</f>
        <v/>
      </c>
      <c r="K91" s="6"/>
      <c r="L91" s="6"/>
    </row>
    <row r="92" customFormat="false" ht="15" hidden="false" customHeight="false" outlineLevel="0" collapsed="false">
      <c r="A92" s="11"/>
      <c r="B92" s="6"/>
      <c r="C92" s="12" t="str">
        <f aca="false">IF(B92="","",IFERROR(INDEX('Black Registry'!$B$4:$B$103,MATCH(B92,'Black Registry'!$A$4:$A$103,0)),"Not found"))</f>
        <v/>
      </c>
      <c r="D92" s="6"/>
      <c r="E92" s="13" t="str">
        <f aca="false">IF(D92="","",IFERROR(INDEX('Reference Tables'!$B$3:$B$8,MATCH(D92,'Reference Tables'!$A$3:$A$8,0)),"Invalid package"))</f>
        <v/>
      </c>
      <c r="F92" s="12" t="str">
        <f aca="false">IF(D92="","",IFERROR(INDEX('Reference Tables'!$C$3:$C$8,MATCH(D92,'Reference Tables'!$A$3:$A$8,0)),"Invalid package"))</f>
        <v/>
      </c>
      <c r="G92" s="14" t="str">
        <f aca="false">IF(E92="","",'Reference Tables'!$C$16)</f>
        <v/>
      </c>
      <c r="H92" s="12" t="str">
        <f aca="false">IF(E92="","",IF(E92&gt;=150,"Yes","No"))</f>
        <v/>
      </c>
      <c r="I92" s="13" t="str">
        <f aca="false">IF(E92="","",IF(H92="Yes",E92*G92,0))</f>
        <v/>
      </c>
      <c r="J92" s="13" t="str">
        <f aca="false">IF(E92="","",E92-I92)</f>
        <v/>
      </c>
      <c r="K92" s="6"/>
      <c r="L92" s="6"/>
    </row>
    <row r="93" customFormat="false" ht="15" hidden="false" customHeight="false" outlineLevel="0" collapsed="false">
      <c r="A93" s="11"/>
      <c r="B93" s="6"/>
      <c r="C93" s="12" t="str">
        <f aca="false">IF(B93="","",IFERROR(INDEX('Black Registry'!$B$4:$B$103,MATCH(B93,'Black Registry'!$A$4:$A$103,0)),"Not found"))</f>
        <v/>
      </c>
      <c r="D93" s="6"/>
      <c r="E93" s="13" t="str">
        <f aca="false">IF(D93="","",IFERROR(INDEX('Reference Tables'!$B$3:$B$8,MATCH(D93,'Reference Tables'!$A$3:$A$8,0)),"Invalid package"))</f>
        <v/>
      </c>
      <c r="F93" s="12" t="str">
        <f aca="false">IF(D93="","",IFERROR(INDEX('Reference Tables'!$C$3:$C$8,MATCH(D93,'Reference Tables'!$A$3:$A$8,0)),"Invalid package"))</f>
        <v/>
      </c>
      <c r="G93" s="14" t="str">
        <f aca="false">IF(E93="","",'Reference Tables'!$C$16)</f>
        <v/>
      </c>
      <c r="H93" s="12" t="str">
        <f aca="false">IF(E93="","",IF(E93&gt;=150,"Yes","No"))</f>
        <v/>
      </c>
      <c r="I93" s="13" t="str">
        <f aca="false">IF(E93="","",IF(H93="Yes",E93*G93,0))</f>
        <v/>
      </c>
      <c r="J93" s="13" t="str">
        <f aca="false">IF(E93="","",E93-I93)</f>
        <v/>
      </c>
      <c r="K93" s="6"/>
      <c r="L93" s="6"/>
    </row>
    <row r="94" customFormat="false" ht="15" hidden="false" customHeight="false" outlineLevel="0" collapsed="false">
      <c r="A94" s="11"/>
      <c r="B94" s="6"/>
      <c r="C94" s="12" t="str">
        <f aca="false">IF(B94="","",IFERROR(INDEX('Black Registry'!$B$4:$B$103,MATCH(B94,'Black Registry'!$A$4:$A$103,0)),"Not found"))</f>
        <v/>
      </c>
      <c r="D94" s="6"/>
      <c r="E94" s="13" t="str">
        <f aca="false">IF(D94="","",IFERROR(INDEX('Reference Tables'!$B$3:$B$8,MATCH(D94,'Reference Tables'!$A$3:$A$8,0)),"Invalid package"))</f>
        <v/>
      </c>
      <c r="F94" s="12" t="str">
        <f aca="false">IF(D94="","",IFERROR(INDEX('Reference Tables'!$C$3:$C$8,MATCH(D94,'Reference Tables'!$A$3:$A$8,0)),"Invalid package"))</f>
        <v/>
      </c>
      <c r="G94" s="14" t="str">
        <f aca="false">IF(E94="","",'Reference Tables'!$C$16)</f>
        <v/>
      </c>
      <c r="H94" s="12" t="str">
        <f aca="false">IF(E94="","",IF(E94&gt;=150,"Yes","No"))</f>
        <v/>
      </c>
      <c r="I94" s="13" t="str">
        <f aca="false">IF(E94="","",IF(H94="Yes",E94*G94,0))</f>
        <v/>
      </c>
      <c r="J94" s="13" t="str">
        <f aca="false">IF(E94="","",E94-I94)</f>
        <v/>
      </c>
      <c r="K94" s="6"/>
      <c r="L94" s="6"/>
    </row>
    <row r="95" customFormat="false" ht="15" hidden="false" customHeight="false" outlineLevel="0" collapsed="false">
      <c r="A95" s="11"/>
      <c r="B95" s="6"/>
      <c r="C95" s="12" t="str">
        <f aca="false">IF(B95="","",IFERROR(INDEX('Black Registry'!$B$4:$B$103,MATCH(B95,'Black Registry'!$A$4:$A$103,0)),"Not found"))</f>
        <v/>
      </c>
      <c r="D95" s="6"/>
      <c r="E95" s="13" t="str">
        <f aca="false">IF(D95="","",IFERROR(INDEX('Reference Tables'!$B$3:$B$8,MATCH(D95,'Reference Tables'!$A$3:$A$8,0)),"Invalid package"))</f>
        <v/>
      </c>
      <c r="F95" s="12" t="str">
        <f aca="false">IF(D95="","",IFERROR(INDEX('Reference Tables'!$C$3:$C$8,MATCH(D95,'Reference Tables'!$A$3:$A$8,0)),"Invalid package"))</f>
        <v/>
      </c>
      <c r="G95" s="14" t="str">
        <f aca="false">IF(E95="","",'Reference Tables'!$C$16)</f>
        <v/>
      </c>
      <c r="H95" s="12" t="str">
        <f aca="false">IF(E95="","",IF(E95&gt;=150,"Yes","No"))</f>
        <v/>
      </c>
      <c r="I95" s="13" t="str">
        <f aca="false">IF(E95="","",IF(H95="Yes",E95*G95,0))</f>
        <v/>
      </c>
      <c r="J95" s="13" t="str">
        <f aca="false">IF(E95="","",E95-I95)</f>
        <v/>
      </c>
      <c r="K95" s="6"/>
      <c r="L95" s="6"/>
    </row>
    <row r="96" customFormat="false" ht="15" hidden="false" customHeight="false" outlineLevel="0" collapsed="false">
      <c r="A96" s="11"/>
      <c r="B96" s="6"/>
      <c r="C96" s="12" t="str">
        <f aca="false">IF(B96="","",IFERROR(INDEX('Black Registry'!$B$4:$B$103,MATCH(B96,'Black Registry'!$A$4:$A$103,0)),"Not found"))</f>
        <v/>
      </c>
      <c r="D96" s="6"/>
      <c r="E96" s="13" t="str">
        <f aca="false">IF(D96="","",IFERROR(INDEX('Reference Tables'!$B$3:$B$8,MATCH(D96,'Reference Tables'!$A$3:$A$8,0)),"Invalid package"))</f>
        <v/>
      </c>
      <c r="F96" s="12" t="str">
        <f aca="false">IF(D96="","",IFERROR(INDEX('Reference Tables'!$C$3:$C$8,MATCH(D96,'Reference Tables'!$A$3:$A$8,0)),"Invalid package"))</f>
        <v/>
      </c>
      <c r="G96" s="14" t="str">
        <f aca="false">IF(E96="","",'Reference Tables'!$C$16)</f>
        <v/>
      </c>
      <c r="H96" s="12" t="str">
        <f aca="false">IF(E96="","",IF(E96&gt;=150,"Yes","No"))</f>
        <v/>
      </c>
      <c r="I96" s="13" t="str">
        <f aca="false">IF(E96="","",IF(H96="Yes",E96*G96,0))</f>
        <v/>
      </c>
      <c r="J96" s="13" t="str">
        <f aca="false">IF(E96="","",E96-I96)</f>
        <v/>
      </c>
      <c r="K96" s="6"/>
      <c r="L96" s="6"/>
    </row>
    <row r="97" customFormat="false" ht="15" hidden="false" customHeight="false" outlineLevel="0" collapsed="false">
      <c r="A97" s="11"/>
      <c r="B97" s="6"/>
      <c r="C97" s="12" t="str">
        <f aca="false">IF(B97="","",IFERROR(INDEX('Black Registry'!$B$4:$B$103,MATCH(B97,'Black Registry'!$A$4:$A$103,0)),"Not found"))</f>
        <v/>
      </c>
      <c r="D97" s="6"/>
      <c r="E97" s="13" t="str">
        <f aca="false">IF(D97="","",IFERROR(INDEX('Reference Tables'!$B$3:$B$8,MATCH(D97,'Reference Tables'!$A$3:$A$8,0)),"Invalid package"))</f>
        <v/>
      </c>
      <c r="F97" s="12" t="str">
        <f aca="false">IF(D97="","",IFERROR(INDEX('Reference Tables'!$C$3:$C$8,MATCH(D97,'Reference Tables'!$A$3:$A$8,0)),"Invalid package"))</f>
        <v/>
      </c>
      <c r="G97" s="14" t="str">
        <f aca="false">IF(E97="","",'Reference Tables'!$C$16)</f>
        <v/>
      </c>
      <c r="H97" s="12" t="str">
        <f aca="false">IF(E97="","",IF(E97&gt;=150,"Yes","No"))</f>
        <v/>
      </c>
      <c r="I97" s="13" t="str">
        <f aca="false">IF(E97="","",IF(H97="Yes",E97*G97,0))</f>
        <v/>
      </c>
      <c r="J97" s="13" t="str">
        <f aca="false">IF(E97="","",E97-I97)</f>
        <v/>
      </c>
      <c r="K97" s="6"/>
      <c r="L97" s="6"/>
    </row>
    <row r="98" customFormat="false" ht="15" hidden="false" customHeight="false" outlineLevel="0" collapsed="false">
      <c r="A98" s="11"/>
      <c r="B98" s="6"/>
      <c r="C98" s="12" t="str">
        <f aca="false">IF(B98="","",IFERROR(INDEX('Black Registry'!$B$4:$B$103,MATCH(B98,'Black Registry'!$A$4:$A$103,0)),"Not found"))</f>
        <v/>
      </c>
      <c r="D98" s="6"/>
      <c r="E98" s="13" t="str">
        <f aca="false">IF(D98="","",IFERROR(INDEX('Reference Tables'!$B$3:$B$8,MATCH(D98,'Reference Tables'!$A$3:$A$8,0)),"Invalid package"))</f>
        <v/>
      </c>
      <c r="F98" s="12" t="str">
        <f aca="false">IF(D98="","",IFERROR(INDEX('Reference Tables'!$C$3:$C$8,MATCH(D98,'Reference Tables'!$A$3:$A$8,0)),"Invalid package"))</f>
        <v/>
      </c>
      <c r="G98" s="14" t="str">
        <f aca="false">IF(E98="","",'Reference Tables'!$C$16)</f>
        <v/>
      </c>
      <c r="H98" s="12" t="str">
        <f aca="false">IF(E98="","",IF(E98&gt;=150,"Yes","No"))</f>
        <v/>
      </c>
      <c r="I98" s="13" t="str">
        <f aca="false">IF(E98="","",IF(H98="Yes",E98*G98,0))</f>
        <v/>
      </c>
      <c r="J98" s="13" t="str">
        <f aca="false">IF(E98="","",E98-I98)</f>
        <v/>
      </c>
      <c r="K98" s="6"/>
      <c r="L98" s="6"/>
    </row>
    <row r="99" customFormat="false" ht="15" hidden="false" customHeight="false" outlineLevel="0" collapsed="false">
      <c r="A99" s="11"/>
      <c r="B99" s="6"/>
      <c r="C99" s="12" t="str">
        <f aca="false">IF(B99="","",IFERROR(INDEX('Black Registry'!$B$4:$B$103,MATCH(B99,'Black Registry'!$A$4:$A$103,0)),"Not found"))</f>
        <v/>
      </c>
      <c r="D99" s="6"/>
      <c r="E99" s="13" t="str">
        <f aca="false">IF(D99="","",IFERROR(INDEX('Reference Tables'!$B$3:$B$8,MATCH(D99,'Reference Tables'!$A$3:$A$8,0)),"Invalid package"))</f>
        <v/>
      </c>
      <c r="F99" s="12" t="str">
        <f aca="false">IF(D99="","",IFERROR(INDEX('Reference Tables'!$C$3:$C$8,MATCH(D99,'Reference Tables'!$A$3:$A$8,0)),"Invalid package"))</f>
        <v/>
      </c>
      <c r="G99" s="14" t="str">
        <f aca="false">IF(E99="","",'Reference Tables'!$C$16)</f>
        <v/>
      </c>
      <c r="H99" s="12" t="str">
        <f aca="false">IF(E99="","",IF(E99&gt;=150,"Yes","No"))</f>
        <v/>
      </c>
      <c r="I99" s="13" t="str">
        <f aca="false">IF(E99="","",IF(H99="Yes",E99*G99,0))</f>
        <v/>
      </c>
      <c r="J99" s="13" t="str">
        <f aca="false">IF(E99="","",E99-I99)</f>
        <v/>
      </c>
      <c r="K99" s="6"/>
      <c r="L99" s="6"/>
    </row>
    <row r="100" customFormat="false" ht="15" hidden="false" customHeight="false" outlineLevel="0" collapsed="false">
      <c r="A100" s="11"/>
      <c r="B100" s="6"/>
      <c r="C100" s="12" t="str">
        <f aca="false">IF(B100="","",IFERROR(INDEX('Black Registry'!$B$4:$B$103,MATCH(B100,'Black Registry'!$A$4:$A$103,0)),"Not found"))</f>
        <v/>
      </c>
      <c r="D100" s="6"/>
      <c r="E100" s="13" t="str">
        <f aca="false">IF(D100="","",IFERROR(INDEX('Reference Tables'!$B$3:$B$8,MATCH(D100,'Reference Tables'!$A$3:$A$8,0)),"Invalid package"))</f>
        <v/>
      </c>
      <c r="F100" s="12" t="str">
        <f aca="false">IF(D100="","",IFERROR(INDEX('Reference Tables'!$C$3:$C$8,MATCH(D100,'Reference Tables'!$A$3:$A$8,0)),"Invalid package"))</f>
        <v/>
      </c>
      <c r="G100" s="14" t="str">
        <f aca="false">IF(E100="","",'Reference Tables'!$C$16)</f>
        <v/>
      </c>
      <c r="H100" s="12" t="str">
        <f aca="false">IF(E100="","",IF(E100&gt;=150,"Yes","No"))</f>
        <v/>
      </c>
      <c r="I100" s="13" t="str">
        <f aca="false">IF(E100="","",IF(H100="Yes",E100*G100,0))</f>
        <v/>
      </c>
      <c r="J100" s="13" t="str">
        <f aca="false">IF(E100="","",E100-I100)</f>
        <v/>
      </c>
      <c r="K100" s="6"/>
      <c r="L100" s="6"/>
    </row>
    <row r="101" customFormat="false" ht="15" hidden="false" customHeight="false" outlineLevel="0" collapsed="false">
      <c r="A101" s="11"/>
      <c r="B101" s="6"/>
      <c r="C101" s="12" t="str">
        <f aca="false">IF(B101="","",IFERROR(INDEX('Black Registry'!$B$4:$B$103,MATCH(B101,'Black Registry'!$A$4:$A$103,0)),"Not found"))</f>
        <v/>
      </c>
      <c r="D101" s="6"/>
      <c r="E101" s="13" t="str">
        <f aca="false">IF(D101="","",IFERROR(INDEX('Reference Tables'!$B$3:$B$8,MATCH(D101,'Reference Tables'!$A$3:$A$8,0)),"Invalid package"))</f>
        <v/>
      </c>
      <c r="F101" s="12" t="str">
        <f aca="false">IF(D101="","",IFERROR(INDEX('Reference Tables'!$C$3:$C$8,MATCH(D101,'Reference Tables'!$A$3:$A$8,0)),"Invalid package"))</f>
        <v/>
      </c>
      <c r="G101" s="14" t="str">
        <f aca="false">IF(E101="","",'Reference Tables'!$C$16)</f>
        <v/>
      </c>
      <c r="H101" s="12" t="str">
        <f aca="false">IF(E101="","",IF(E101&gt;=150,"Yes","No"))</f>
        <v/>
      </c>
      <c r="I101" s="13" t="str">
        <f aca="false">IF(E101="","",IF(H101="Yes",E101*G101,0))</f>
        <v/>
      </c>
      <c r="J101" s="13" t="str">
        <f aca="false">IF(E101="","",E101-I101)</f>
        <v/>
      </c>
      <c r="K101" s="6"/>
      <c r="L101" s="6"/>
    </row>
    <row r="102" customFormat="false" ht="15" hidden="false" customHeight="false" outlineLevel="0" collapsed="false">
      <c r="A102" s="11"/>
      <c r="B102" s="6"/>
      <c r="C102" s="12" t="str">
        <f aca="false">IF(B102="","",IFERROR(INDEX('Black Registry'!$B$4:$B$103,MATCH(B102,'Black Registry'!$A$4:$A$103,0)),"Not found"))</f>
        <v/>
      </c>
      <c r="D102" s="6"/>
      <c r="E102" s="13" t="str">
        <f aca="false">IF(D102="","",IFERROR(INDEX('Reference Tables'!$B$3:$B$8,MATCH(D102,'Reference Tables'!$A$3:$A$8,0)),"Invalid package"))</f>
        <v/>
      </c>
      <c r="F102" s="12" t="str">
        <f aca="false">IF(D102="","",IFERROR(INDEX('Reference Tables'!$C$3:$C$8,MATCH(D102,'Reference Tables'!$A$3:$A$8,0)),"Invalid package"))</f>
        <v/>
      </c>
      <c r="G102" s="14" t="str">
        <f aca="false">IF(E102="","",'Reference Tables'!$C$16)</f>
        <v/>
      </c>
      <c r="H102" s="12" t="str">
        <f aca="false">IF(E102="","",IF(E102&gt;=150,"Yes","No"))</f>
        <v/>
      </c>
      <c r="I102" s="13" t="str">
        <f aca="false">IF(E102="","",IF(H102="Yes",E102*G102,0))</f>
        <v/>
      </c>
      <c r="J102" s="13" t="str">
        <f aca="false">IF(E102="","",E102-I102)</f>
        <v/>
      </c>
      <c r="K102" s="6"/>
      <c r="L102" s="6"/>
    </row>
    <row r="103" customFormat="false" ht="15" hidden="false" customHeight="false" outlineLevel="0" collapsed="false">
      <c r="A103" s="11"/>
      <c r="B103" s="6"/>
      <c r="C103" s="12" t="str">
        <f aca="false">IF(B103="","",IFERROR(INDEX('Black Registry'!$B$4:$B$103,MATCH(B103,'Black Registry'!$A$4:$A$103,0)),"Not found"))</f>
        <v/>
      </c>
      <c r="D103" s="6"/>
      <c r="E103" s="13" t="str">
        <f aca="false">IF(D103="","",IFERROR(INDEX('Reference Tables'!$B$3:$B$8,MATCH(D103,'Reference Tables'!$A$3:$A$8,0)),"Invalid package"))</f>
        <v/>
      </c>
      <c r="F103" s="12" t="str">
        <f aca="false">IF(D103="","",IFERROR(INDEX('Reference Tables'!$C$3:$C$8,MATCH(D103,'Reference Tables'!$A$3:$A$8,0)),"Invalid package"))</f>
        <v/>
      </c>
      <c r="G103" s="14" t="str">
        <f aca="false">IF(E103="","",'Reference Tables'!$C$16)</f>
        <v/>
      </c>
      <c r="H103" s="12" t="str">
        <f aca="false">IF(E103="","",IF(E103&gt;=150,"Yes","No"))</f>
        <v/>
      </c>
      <c r="I103" s="13" t="str">
        <f aca="false">IF(E103="","",IF(H103="Yes",E103*G103,0))</f>
        <v/>
      </c>
      <c r="J103" s="13" t="str">
        <f aca="false">IF(E103="","",E103-I103)</f>
        <v/>
      </c>
      <c r="K103" s="6"/>
      <c r="L103" s="6"/>
    </row>
    <row r="104" customFormat="false" ht="15" hidden="false" customHeight="false" outlineLevel="0" collapsed="false">
      <c r="A104" s="11"/>
      <c r="B104" s="6"/>
      <c r="C104" s="12" t="str">
        <f aca="false">IF(B104="","",IFERROR(INDEX('Black Registry'!$B$4:$B$103,MATCH(B104,'Black Registry'!$A$4:$A$103,0)),"Not found"))</f>
        <v/>
      </c>
      <c r="D104" s="6"/>
      <c r="E104" s="13" t="str">
        <f aca="false">IF(D104="","",IFERROR(INDEX('Reference Tables'!$B$3:$B$8,MATCH(D104,'Reference Tables'!$A$3:$A$8,0)),"Invalid package"))</f>
        <v/>
      </c>
      <c r="F104" s="12" t="str">
        <f aca="false">IF(D104="","",IFERROR(INDEX('Reference Tables'!$C$3:$C$8,MATCH(D104,'Reference Tables'!$A$3:$A$8,0)),"Invalid package"))</f>
        <v/>
      </c>
      <c r="G104" s="14" t="str">
        <f aca="false">IF(E104="","",'Reference Tables'!$C$16)</f>
        <v/>
      </c>
      <c r="H104" s="12" t="str">
        <f aca="false">IF(E104="","",IF(E104&gt;=150,"Yes","No"))</f>
        <v/>
      </c>
      <c r="I104" s="13" t="str">
        <f aca="false">IF(E104="","",IF(H104="Yes",E104*G104,0))</f>
        <v/>
      </c>
      <c r="J104" s="13" t="str">
        <f aca="false">IF(E104="","",E104-I104)</f>
        <v/>
      </c>
      <c r="K104" s="6"/>
      <c r="L104" s="6"/>
    </row>
    <row r="105" customFormat="false" ht="15" hidden="false" customHeight="false" outlineLevel="0" collapsed="false">
      <c r="A105" s="11"/>
      <c r="B105" s="6"/>
      <c r="C105" s="12" t="str">
        <f aca="false">IF(B105="","",IFERROR(INDEX('Black Registry'!$B$4:$B$103,MATCH(B105,'Black Registry'!$A$4:$A$103,0)),"Not found"))</f>
        <v/>
      </c>
      <c r="D105" s="6"/>
      <c r="E105" s="13" t="str">
        <f aca="false">IF(D105="","",IFERROR(INDEX('Reference Tables'!$B$3:$B$8,MATCH(D105,'Reference Tables'!$A$3:$A$8,0)),"Invalid package"))</f>
        <v/>
      </c>
      <c r="F105" s="12" t="str">
        <f aca="false">IF(D105="","",IFERROR(INDEX('Reference Tables'!$C$3:$C$8,MATCH(D105,'Reference Tables'!$A$3:$A$8,0)),"Invalid package"))</f>
        <v/>
      </c>
      <c r="G105" s="14" t="str">
        <f aca="false">IF(E105="","",'Reference Tables'!$C$16)</f>
        <v/>
      </c>
      <c r="H105" s="12" t="str">
        <f aca="false">IF(E105="","",IF(E105&gt;=150,"Yes","No"))</f>
        <v/>
      </c>
      <c r="I105" s="13" t="str">
        <f aca="false">IF(E105="","",IF(H105="Yes",E105*G105,0))</f>
        <v/>
      </c>
      <c r="J105" s="13" t="str">
        <f aca="false">IF(E105="","",E105-I105)</f>
        <v/>
      </c>
      <c r="K105" s="6"/>
      <c r="L105" s="6"/>
    </row>
    <row r="106" customFormat="false" ht="15" hidden="false" customHeight="false" outlineLevel="0" collapsed="false">
      <c r="A106" s="11"/>
      <c r="B106" s="6"/>
      <c r="C106" s="12" t="str">
        <f aca="false">IF(B106="","",IFERROR(INDEX('Black Registry'!$B$4:$B$103,MATCH(B106,'Black Registry'!$A$4:$A$103,0)),"Not found"))</f>
        <v/>
      </c>
      <c r="D106" s="6"/>
      <c r="E106" s="13" t="str">
        <f aca="false">IF(D106="","",IFERROR(INDEX('Reference Tables'!$B$3:$B$8,MATCH(D106,'Reference Tables'!$A$3:$A$8,0)),"Invalid package"))</f>
        <v/>
      </c>
      <c r="F106" s="12" t="str">
        <f aca="false">IF(D106="","",IFERROR(INDEX('Reference Tables'!$C$3:$C$8,MATCH(D106,'Reference Tables'!$A$3:$A$8,0)),"Invalid package"))</f>
        <v/>
      </c>
      <c r="G106" s="14" t="str">
        <f aca="false">IF(E106="","",'Reference Tables'!$C$16)</f>
        <v/>
      </c>
      <c r="H106" s="12" t="str">
        <f aca="false">IF(E106="","",IF(E106&gt;=150,"Yes","No"))</f>
        <v/>
      </c>
      <c r="I106" s="13" t="str">
        <f aca="false">IF(E106="","",IF(H106="Yes",E106*G106,0))</f>
        <v/>
      </c>
      <c r="J106" s="13" t="str">
        <f aca="false">IF(E106="","",E106-I106)</f>
        <v/>
      </c>
      <c r="K106" s="6"/>
      <c r="L106" s="6"/>
    </row>
    <row r="107" customFormat="false" ht="15" hidden="false" customHeight="false" outlineLevel="0" collapsed="false">
      <c r="A107" s="11"/>
      <c r="B107" s="6"/>
      <c r="C107" s="12" t="str">
        <f aca="false">IF(B107="","",IFERROR(INDEX('Black Registry'!$B$4:$B$103,MATCH(B107,'Black Registry'!$A$4:$A$103,0)),"Not found"))</f>
        <v/>
      </c>
      <c r="D107" s="6"/>
      <c r="E107" s="13" t="str">
        <f aca="false">IF(D107="","",IFERROR(INDEX('Reference Tables'!$B$3:$B$8,MATCH(D107,'Reference Tables'!$A$3:$A$8,0)),"Invalid package"))</f>
        <v/>
      </c>
      <c r="F107" s="12" t="str">
        <f aca="false">IF(D107="","",IFERROR(INDEX('Reference Tables'!$C$3:$C$8,MATCH(D107,'Reference Tables'!$A$3:$A$8,0)),"Invalid package"))</f>
        <v/>
      </c>
      <c r="G107" s="14" t="str">
        <f aca="false">IF(E107="","",'Reference Tables'!$C$16)</f>
        <v/>
      </c>
      <c r="H107" s="12" t="str">
        <f aca="false">IF(E107="","",IF(E107&gt;=150,"Yes","No"))</f>
        <v/>
      </c>
      <c r="I107" s="13" t="str">
        <f aca="false">IF(E107="","",IF(H107="Yes",E107*G107,0))</f>
        <v/>
      </c>
      <c r="J107" s="13" t="str">
        <f aca="false">IF(E107="","",E107-I107)</f>
        <v/>
      </c>
      <c r="K107" s="6"/>
      <c r="L107" s="6"/>
    </row>
    <row r="108" customFormat="false" ht="15" hidden="false" customHeight="false" outlineLevel="0" collapsed="false">
      <c r="A108" s="11"/>
      <c r="B108" s="6"/>
      <c r="C108" s="12" t="str">
        <f aca="false">IF(B108="","",IFERROR(INDEX('Black Registry'!$B$4:$B$103,MATCH(B108,'Black Registry'!$A$4:$A$103,0)),"Not found"))</f>
        <v/>
      </c>
      <c r="D108" s="6"/>
      <c r="E108" s="13" t="str">
        <f aca="false">IF(D108="","",IFERROR(INDEX('Reference Tables'!$B$3:$B$8,MATCH(D108,'Reference Tables'!$A$3:$A$8,0)),"Invalid package"))</f>
        <v/>
      </c>
      <c r="F108" s="12" t="str">
        <f aca="false">IF(D108="","",IFERROR(INDEX('Reference Tables'!$C$3:$C$8,MATCH(D108,'Reference Tables'!$A$3:$A$8,0)),"Invalid package"))</f>
        <v/>
      </c>
      <c r="G108" s="14" t="str">
        <f aca="false">IF(E108="","",'Reference Tables'!$C$16)</f>
        <v/>
      </c>
      <c r="H108" s="12" t="str">
        <f aca="false">IF(E108="","",IF(E108&gt;=150,"Yes","No"))</f>
        <v/>
      </c>
      <c r="I108" s="13" t="str">
        <f aca="false">IF(E108="","",IF(H108="Yes",E108*G108,0))</f>
        <v/>
      </c>
      <c r="J108" s="13" t="str">
        <f aca="false">IF(E108="","",E108-I108)</f>
        <v/>
      </c>
      <c r="K108" s="6"/>
      <c r="L108" s="6"/>
    </row>
    <row r="109" customFormat="false" ht="15" hidden="false" customHeight="false" outlineLevel="0" collapsed="false">
      <c r="A109" s="11"/>
      <c r="B109" s="6"/>
      <c r="C109" s="12" t="str">
        <f aca="false">IF(B109="","",IFERROR(INDEX('Black Registry'!$B$4:$B$103,MATCH(B109,'Black Registry'!$A$4:$A$103,0)),"Not found"))</f>
        <v/>
      </c>
      <c r="D109" s="6"/>
      <c r="E109" s="13" t="str">
        <f aca="false">IF(D109="","",IFERROR(INDEX('Reference Tables'!$B$3:$B$8,MATCH(D109,'Reference Tables'!$A$3:$A$8,0)),"Invalid package"))</f>
        <v/>
      </c>
      <c r="F109" s="12" t="str">
        <f aca="false">IF(D109="","",IFERROR(INDEX('Reference Tables'!$C$3:$C$8,MATCH(D109,'Reference Tables'!$A$3:$A$8,0)),"Invalid package"))</f>
        <v/>
      </c>
      <c r="G109" s="14" t="str">
        <f aca="false">IF(E109="","",'Reference Tables'!$C$16)</f>
        <v/>
      </c>
      <c r="H109" s="12" t="str">
        <f aca="false">IF(E109="","",IF(E109&gt;=150,"Yes","No"))</f>
        <v/>
      </c>
      <c r="I109" s="13" t="str">
        <f aca="false">IF(E109="","",IF(H109="Yes",E109*G109,0))</f>
        <v/>
      </c>
      <c r="J109" s="13" t="str">
        <f aca="false">IF(E109="","",E109-I109)</f>
        <v/>
      </c>
      <c r="K109" s="6"/>
      <c r="L109" s="6"/>
    </row>
    <row r="110" customFormat="false" ht="15" hidden="false" customHeight="false" outlineLevel="0" collapsed="false">
      <c r="A110" s="11"/>
      <c r="B110" s="6"/>
      <c r="C110" s="12" t="str">
        <f aca="false">IF(B110="","",IFERROR(INDEX('Black Registry'!$B$4:$B$103,MATCH(B110,'Black Registry'!$A$4:$A$103,0)),"Not found"))</f>
        <v/>
      </c>
      <c r="D110" s="6"/>
      <c r="E110" s="13" t="str">
        <f aca="false">IF(D110="","",IFERROR(INDEX('Reference Tables'!$B$3:$B$8,MATCH(D110,'Reference Tables'!$A$3:$A$8,0)),"Invalid package"))</f>
        <v/>
      </c>
      <c r="F110" s="12" t="str">
        <f aca="false">IF(D110="","",IFERROR(INDEX('Reference Tables'!$C$3:$C$8,MATCH(D110,'Reference Tables'!$A$3:$A$8,0)),"Invalid package"))</f>
        <v/>
      </c>
      <c r="G110" s="14" t="str">
        <f aca="false">IF(E110="","",'Reference Tables'!$C$16)</f>
        <v/>
      </c>
      <c r="H110" s="12" t="str">
        <f aca="false">IF(E110="","",IF(E110&gt;=150,"Yes","No"))</f>
        <v/>
      </c>
      <c r="I110" s="13" t="str">
        <f aca="false">IF(E110="","",IF(H110="Yes",E110*G110,0))</f>
        <v/>
      </c>
      <c r="J110" s="13" t="str">
        <f aca="false">IF(E110="","",E110-I110)</f>
        <v/>
      </c>
      <c r="K110" s="6"/>
      <c r="L110" s="6"/>
    </row>
    <row r="111" customFormat="false" ht="15" hidden="false" customHeight="false" outlineLevel="0" collapsed="false">
      <c r="A111" s="11"/>
      <c r="B111" s="6"/>
      <c r="C111" s="12" t="str">
        <f aca="false">IF(B111="","",IFERROR(INDEX('Black Registry'!$B$4:$B$103,MATCH(B111,'Black Registry'!$A$4:$A$103,0)),"Not found"))</f>
        <v/>
      </c>
      <c r="D111" s="6"/>
      <c r="E111" s="13" t="str">
        <f aca="false">IF(D111="","",IFERROR(INDEX('Reference Tables'!$B$3:$B$8,MATCH(D111,'Reference Tables'!$A$3:$A$8,0)),"Invalid package"))</f>
        <v/>
      </c>
      <c r="F111" s="12" t="str">
        <f aca="false">IF(D111="","",IFERROR(INDEX('Reference Tables'!$C$3:$C$8,MATCH(D111,'Reference Tables'!$A$3:$A$8,0)),"Invalid package"))</f>
        <v/>
      </c>
      <c r="G111" s="14" t="str">
        <f aca="false">IF(E111="","",'Reference Tables'!$C$16)</f>
        <v/>
      </c>
      <c r="H111" s="12" t="str">
        <f aca="false">IF(E111="","",IF(E111&gt;=150,"Yes","No"))</f>
        <v/>
      </c>
      <c r="I111" s="13" t="str">
        <f aca="false">IF(E111="","",IF(H111="Yes",E111*G111,0))</f>
        <v/>
      </c>
      <c r="J111" s="13" t="str">
        <f aca="false">IF(E111="","",E111-I111)</f>
        <v/>
      </c>
      <c r="K111" s="6"/>
      <c r="L111" s="6"/>
    </row>
    <row r="112" customFormat="false" ht="15" hidden="false" customHeight="false" outlineLevel="0" collapsed="false">
      <c r="A112" s="11"/>
      <c r="B112" s="6"/>
      <c r="C112" s="12" t="str">
        <f aca="false">IF(B112="","",IFERROR(INDEX('Black Registry'!$B$4:$B$103,MATCH(B112,'Black Registry'!$A$4:$A$103,0)),"Not found"))</f>
        <v/>
      </c>
      <c r="D112" s="6"/>
      <c r="E112" s="13" t="str">
        <f aca="false">IF(D112="","",IFERROR(INDEX('Reference Tables'!$B$3:$B$8,MATCH(D112,'Reference Tables'!$A$3:$A$8,0)),"Invalid package"))</f>
        <v/>
      </c>
      <c r="F112" s="12" t="str">
        <f aca="false">IF(D112="","",IFERROR(INDEX('Reference Tables'!$C$3:$C$8,MATCH(D112,'Reference Tables'!$A$3:$A$8,0)),"Invalid package"))</f>
        <v/>
      </c>
      <c r="G112" s="14" t="str">
        <f aca="false">IF(E112="","",'Reference Tables'!$C$16)</f>
        <v/>
      </c>
      <c r="H112" s="12" t="str">
        <f aca="false">IF(E112="","",IF(E112&gt;=150,"Yes","No"))</f>
        <v/>
      </c>
      <c r="I112" s="13" t="str">
        <f aca="false">IF(E112="","",IF(H112="Yes",E112*G112,0))</f>
        <v/>
      </c>
      <c r="J112" s="13" t="str">
        <f aca="false">IF(E112="","",E112-I112)</f>
        <v/>
      </c>
      <c r="K112" s="6"/>
      <c r="L112" s="6"/>
    </row>
    <row r="113" customFormat="false" ht="15" hidden="false" customHeight="false" outlineLevel="0" collapsed="false">
      <c r="A113" s="11"/>
      <c r="B113" s="6"/>
      <c r="C113" s="12" t="str">
        <f aca="false">IF(B113="","",IFERROR(INDEX('Black Registry'!$B$4:$B$103,MATCH(B113,'Black Registry'!$A$4:$A$103,0)),"Not found"))</f>
        <v/>
      </c>
      <c r="D113" s="6"/>
      <c r="E113" s="13" t="str">
        <f aca="false">IF(D113="","",IFERROR(INDEX('Reference Tables'!$B$3:$B$8,MATCH(D113,'Reference Tables'!$A$3:$A$8,0)),"Invalid package"))</f>
        <v/>
      </c>
      <c r="F113" s="12" t="str">
        <f aca="false">IF(D113="","",IFERROR(INDEX('Reference Tables'!$C$3:$C$8,MATCH(D113,'Reference Tables'!$A$3:$A$8,0)),"Invalid package"))</f>
        <v/>
      </c>
      <c r="G113" s="14" t="str">
        <f aca="false">IF(E113="","",'Reference Tables'!$C$16)</f>
        <v/>
      </c>
      <c r="H113" s="12" t="str">
        <f aca="false">IF(E113="","",IF(E113&gt;=150,"Yes","No"))</f>
        <v/>
      </c>
      <c r="I113" s="13" t="str">
        <f aca="false">IF(E113="","",IF(H113="Yes",E113*G113,0))</f>
        <v/>
      </c>
      <c r="J113" s="13" t="str">
        <f aca="false">IF(E113="","",E113-I113)</f>
        <v/>
      </c>
      <c r="K113" s="6"/>
      <c r="L113" s="6"/>
    </row>
    <row r="114" customFormat="false" ht="15" hidden="false" customHeight="false" outlineLevel="0" collapsed="false">
      <c r="A114" s="11"/>
      <c r="B114" s="6"/>
      <c r="C114" s="12" t="str">
        <f aca="false">IF(B114="","",IFERROR(INDEX('Black Registry'!$B$4:$B$103,MATCH(B114,'Black Registry'!$A$4:$A$103,0)),"Not found"))</f>
        <v/>
      </c>
      <c r="D114" s="6"/>
      <c r="E114" s="13" t="str">
        <f aca="false">IF(D114="","",IFERROR(INDEX('Reference Tables'!$B$3:$B$8,MATCH(D114,'Reference Tables'!$A$3:$A$8,0)),"Invalid package"))</f>
        <v/>
      </c>
      <c r="F114" s="12" t="str">
        <f aca="false">IF(D114="","",IFERROR(INDEX('Reference Tables'!$C$3:$C$8,MATCH(D114,'Reference Tables'!$A$3:$A$8,0)),"Invalid package"))</f>
        <v/>
      </c>
      <c r="G114" s="14" t="str">
        <f aca="false">IF(E114="","",'Reference Tables'!$C$16)</f>
        <v/>
      </c>
      <c r="H114" s="12" t="str">
        <f aca="false">IF(E114="","",IF(E114&gt;=150,"Yes","No"))</f>
        <v/>
      </c>
      <c r="I114" s="13" t="str">
        <f aca="false">IF(E114="","",IF(H114="Yes",E114*G114,0))</f>
        <v/>
      </c>
      <c r="J114" s="13" t="str">
        <f aca="false">IF(E114="","",E114-I114)</f>
        <v/>
      </c>
      <c r="K114" s="6"/>
      <c r="L114" s="6"/>
    </row>
    <row r="115" customFormat="false" ht="15" hidden="false" customHeight="false" outlineLevel="0" collapsed="false">
      <c r="A115" s="11"/>
      <c r="B115" s="6"/>
      <c r="C115" s="12" t="str">
        <f aca="false">IF(B115="","",IFERROR(INDEX('Black Registry'!$B$4:$B$103,MATCH(B115,'Black Registry'!$A$4:$A$103,0)),"Not found"))</f>
        <v/>
      </c>
      <c r="D115" s="6"/>
      <c r="E115" s="13" t="str">
        <f aca="false">IF(D115="","",IFERROR(INDEX('Reference Tables'!$B$3:$B$8,MATCH(D115,'Reference Tables'!$A$3:$A$8,0)),"Invalid package"))</f>
        <v/>
      </c>
      <c r="F115" s="12" t="str">
        <f aca="false">IF(D115="","",IFERROR(INDEX('Reference Tables'!$C$3:$C$8,MATCH(D115,'Reference Tables'!$A$3:$A$8,0)),"Invalid package"))</f>
        <v/>
      </c>
      <c r="G115" s="14" t="str">
        <f aca="false">IF(E115="","",'Reference Tables'!$C$16)</f>
        <v/>
      </c>
      <c r="H115" s="12" t="str">
        <f aca="false">IF(E115="","",IF(E115&gt;=150,"Yes","No"))</f>
        <v/>
      </c>
      <c r="I115" s="13" t="str">
        <f aca="false">IF(E115="","",IF(H115="Yes",E115*G115,0))</f>
        <v/>
      </c>
      <c r="J115" s="13" t="str">
        <f aca="false">IF(E115="","",E115-I115)</f>
        <v/>
      </c>
      <c r="K115" s="6"/>
      <c r="L115" s="6"/>
    </row>
    <row r="116" customFormat="false" ht="15" hidden="false" customHeight="false" outlineLevel="0" collapsed="false">
      <c r="A116" s="11"/>
      <c r="B116" s="6"/>
      <c r="C116" s="12" t="str">
        <f aca="false">IF(B116="","",IFERROR(INDEX('Black Registry'!$B$4:$B$103,MATCH(B116,'Black Registry'!$A$4:$A$103,0)),"Not found"))</f>
        <v/>
      </c>
      <c r="D116" s="6"/>
      <c r="E116" s="13" t="str">
        <f aca="false">IF(D116="","",IFERROR(INDEX('Reference Tables'!$B$3:$B$8,MATCH(D116,'Reference Tables'!$A$3:$A$8,0)),"Invalid package"))</f>
        <v/>
      </c>
      <c r="F116" s="12" t="str">
        <f aca="false">IF(D116="","",IFERROR(INDEX('Reference Tables'!$C$3:$C$8,MATCH(D116,'Reference Tables'!$A$3:$A$8,0)),"Invalid package"))</f>
        <v/>
      </c>
      <c r="G116" s="14" t="str">
        <f aca="false">IF(E116="","",'Reference Tables'!$C$16)</f>
        <v/>
      </c>
      <c r="H116" s="12" t="str">
        <f aca="false">IF(E116="","",IF(E116&gt;=150,"Yes","No"))</f>
        <v/>
      </c>
      <c r="I116" s="13" t="str">
        <f aca="false">IF(E116="","",IF(H116="Yes",E116*G116,0))</f>
        <v/>
      </c>
      <c r="J116" s="13" t="str">
        <f aca="false">IF(E116="","",E116-I116)</f>
        <v/>
      </c>
      <c r="K116" s="6"/>
      <c r="L116" s="6"/>
    </row>
    <row r="117" customFormat="false" ht="15" hidden="false" customHeight="false" outlineLevel="0" collapsed="false">
      <c r="A117" s="11"/>
      <c r="B117" s="6"/>
      <c r="C117" s="12" t="str">
        <f aca="false">IF(B117="","",IFERROR(INDEX('Black Registry'!$B$4:$B$103,MATCH(B117,'Black Registry'!$A$4:$A$103,0)),"Not found"))</f>
        <v/>
      </c>
      <c r="D117" s="6"/>
      <c r="E117" s="13" t="str">
        <f aca="false">IF(D117="","",IFERROR(INDEX('Reference Tables'!$B$3:$B$8,MATCH(D117,'Reference Tables'!$A$3:$A$8,0)),"Invalid package"))</f>
        <v/>
      </c>
      <c r="F117" s="12" t="str">
        <f aca="false">IF(D117="","",IFERROR(INDEX('Reference Tables'!$C$3:$C$8,MATCH(D117,'Reference Tables'!$A$3:$A$8,0)),"Invalid package"))</f>
        <v/>
      </c>
      <c r="G117" s="14" t="str">
        <f aca="false">IF(E117="","",'Reference Tables'!$C$16)</f>
        <v/>
      </c>
      <c r="H117" s="12" t="str">
        <f aca="false">IF(E117="","",IF(E117&gt;=150,"Yes","No"))</f>
        <v/>
      </c>
      <c r="I117" s="13" t="str">
        <f aca="false">IF(E117="","",IF(H117="Yes",E117*G117,0))</f>
        <v/>
      </c>
      <c r="J117" s="13" t="str">
        <f aca="false">IF(E117="","",E117-I117)</f>
        <v/>
      </c>
      <c r="K117" s="6"/>
      <c r="L117" s="6"/>
    </row>
    <row r="118" customFormat="false" ht="15" hidden="false" customHeight="false" outlineLevel="0" collapsed="false">
      <c r="A118" s="11"/>
      <c r="B118" s="6"/>
      <c r="C118" s="12" t="str">
        <f aca="false">IF(B118="","",IFERROR(INDEX('Black Registry'!$B$4:$B$103,MATCH(B118,'Black Registry'!$A$4:$A$103,0)),"Not found"))</f>
        <v/>
      </c>
      <c r="D118" s="6"/>
      <c r="E118" s="13" t="str">
        <f aca="false">IF(D118="","",IFERROR(INDEX('Reference Tables'!$B$3:$B$8,MATCH(D118,'Reference Tables'!$A$3:$A$8,0)),"Invalid package"))</f>
        <v/>
      </c>
      <c r="F118" s="12" t="str">
        <f aca="false">IF(D118="","",IFERROR(INDEX('Reference Tables'!$C$3:$C$8,MATCH(D118,'Reference Tables'!$A$3:$A$8,0)),"Invalid package"))</f>
        <v/>
      </c>
      <c r="G118" s="14" t="str">
        <f aca="false">IF(E118="","",'Reference Tables'!$C$16)</f>
        <v/>
      </c>
      <c r="H118" s="12" t="str">
        <f aca="false">IF(E118="","",IF(E118&gt;=150,"Yes","No"))</f>
        <v/>
      </c>
      <c r="I118" s="13" t="str">
        <f aca="false">IF(E118="","",IF(H118="Yes",E118*G118,0))</f>
        <v/>
      </c>
      <c r="J118" s="13" t="str">
        <f aca="false">IF(E118="","",E118-I118)</f>
        <v/>
      </c>
      <c r="K118" s="6"/>
      <c r="L118" s="6"/>
    </row>
    <row r="119" customFormat="false" ht="15" hidden="false" customHeight="false" outlineLevel="0" collapsed="false">
      <c r="A119" s="11"/>
      <c r="B119" s="6"/>
      <c r="C119" s="12" t="str">
        <f aca="false">IF(B119="","",IFERROR(INDEX('Black Registry'!$B$4:$B$103,MATCH(B119,'Black Registry'!$A$4:$A$103,0)),"Not found"))</f>
        <v/>
      </c>
      <c r="D119" s="6"/>
      <c r="E119" s="13" t="str">
        <f aca="false">IF(D119="","",IFERROR(INDEX('Reference Tables'!$B$3:$B$8,MATCH(D119,'Reference Tables'!$A$3:$A$8,0)),"Invalid package"))</f>
        <v/>
      </c>
      <c r="F119" s="12" t="str">
        <f aca="false">IF(D119="","",IFERROR(INDEX('Reference Tables'!$C$3:$C$8,MATCH(D119,'Reference Tables'!$A$3:$A$8,0)),"Invalid package"))</f>
        <v/>
      </c>
      <c r="G119" s="14" t="str">
        <f aca="false">IF(E119="","",'Reference Tables'!$C$16)</f>
        <v/>
      </c>
      <c r="H119" s="12" t="str">
        <f aca="false">IF(E119="","",IF(E119&gt;=150,"Yes","No"))</f>
        <v/>
      </c>
      <c r="I119" s="13" t="str">
        <f aca="false">IF(E119="","",IF(H119="Yes",E119*G119,0))</f>
        <v/>
      </c>
      <c r="J119" s="13" t="str">
        <f aca="false">IF(E119="","",E119-I119)</f>
        <v/>
      </c>
      <c r="K119" s="6"/>
      <c r="L119" s="6"/>
    </row>
    <row r="120" customFormat="false" ht="15" hidden="false" customHeight="false" outlineLevel="0" collapsed="false">
      <c r="A120" s="11"/>
      <c r="B120" s="6"/>
      <c r="C120" s="12" t="str">
        <f aca="false">IF(B120="","",IFERROR(INDEX('Black Registry'!$B$4:$B$103,MATCH(B120,'Black Registry'!$A$4:$A$103,0)),"Not found"))</f>
        <v/>
      </c>
      <c r="D120" s="6"/>
      <c r="E120" s="13" t="str">
        <f aca="false">IF(D120="","",IFERROR(INDEX('Reference Tables'!$B$3:$B$8,MATCH(D120,'Reference Tables'!$A$3:$A$8,0)),"Invalid package"))</f>
        <v/>
      </c>
      <c r="F120" s="12" t="str">
        <f aca="false">IF(D120="","",IFERROR(INDEX('Reference Tables'!$C$3:$C$8,MATCH(D120,'Reference Tables'!$A$3:$A$8,0)),"Invalid package"))</f>
        <v/>
      </c>
      <c r="G120" s="14" t="str">
        <f aca="false">IF(E120="","",'Reference Tables'!$C$16)</f>
        <v/>
      </c>
      <c r="H120" s="12" t="str">
        <f aca="false">IF(E120="","",IF(E120&gt;=150,"Yes","No"))</f>
        <v/>
      </c>
      <c r="I120" s="13" t="str">
        <f aca="false">IF(E120="","",IF(H120="Yes",E120*G120,0))</f>
        <v/>
      </c>
      <c r="J120" s="13" t="str">
        <f aca="false">IF(E120="","",E120-I120)</f>
        <v/>
      </c>
      <c r="K120" s="6"/>
      <c r="L120" s="6"/>
    </row>
    <row r="121" customFormat="false" ht="15" hidden="false" customHeight="false" outlineLevel="0" collapsed="false">
      <c r="A121" s="11"/>
      <c r="B121" s="6"/>
      <c r="C121" s="12" t="str">
        <f aca="false">IF(B121="","",IFERROR(INDEX('Black Registry'!$B$4:$B$103,MATCH(B121,'Black Registry'!$A$4:$A$103,0)),"Not found"))</f>
        <v/>
      </c>
      <c r="D121" s="6"/>
      <c r="E121" s="13" t="str">
        <f aca="false">IF(D121="","",IFERROR(INDEX('Reference Tables'!$B$3:$B$8,MATCH(D121,'Reference Tables'!$A$3:$A$8,0)),"Invalid package"))</f>
        <v/>
      </c>
      <c r="F121" s="12" t="str">
        <f aca="false">IF(D121="","",IFERROR(INDEX('Reference Tables'!$C$3:$C$8,MATCH(D121,'Reference Tables'!$A$3:$A$8,0)),"Invalid package"))</f>
        <v/>
      </c>
      <c r="G121" s="14" t="str">
        <f aca="false">IF(E121="","",'Reference Tables'!$C$16)</f>
        <v/>
      </c>
      <c r="H121" s="12" t="str">
        <f aca="false">IF(E121="","",IF(E121&gt;=150,"Yes","No"))</f>
        <v/>
      </c>
      <c r="I121" s="13" t="str">
        <f aca="false">IF(E121="","",IF(H121="Yes",E121*G121,0))</f>
        <v/>
      </c>
      <c r="J121" s="13" t="str">
        <f aca="false">IF(E121="","",E121-I121)</f>
        <v/>
      </c>
      <c r="K121" s="6"/>
      <c r="L121" s="6"/>
    </row>
    <row r="122" customFormat="false" ht="15" hidden="false" customHeight="false" outlineLevel="0" collapsed="false">
      <c r="A122" s="11"/>
      <c r="B122" s="6"/>
      <c r="C122" s="12" t="str">
        <f aca="false">IF(B122="","",IFERROR(INDEX('Black Registry'!$B$4:$B$103,MATCH(B122,'Black Registry'!$A$4:$A$103,0)),"Not found"))</f>
        <v/>
      </c>
      <c r="D122" s="6"/>
      <c r="E122" s="13" t="str">
        <f aca="false">IF(D122="","",IFERROR(INDEX('Reference Tables'!$B$3:$B$8,MATCH(D122,'Reference Tables'!$A$3:$A$8,0)),"Invalid package"))</f>
        <v/>
      </c>
      <c r="F122" s="12" t="str">
        <f aca="false">IF(D122="","",IFERROR(INDEX('Reference Tables'!$C$3:$C$8,MATCH(D122,'Reference Tables'!$A$3:$A$8,0)),"Invalid package"))</f>
        <v/>
      </c>
      <c r="G122" s="14" t="str">
        <f aca="false">IF(E122="","",'Reference Tables'!$C$16)</f>
        <v/>
      </c>
      <c r="H122" s="12" t="str">
        <f aca="false">IF(E122="","",IF(E122&gt;=150,"Yes","No"))</f>
        <v/>
      </c>
      <c r="I122" s="13" t="str">
        <f aca="false">IF(E122="","",IF(H122="Yes",E122*G122,0))</f>
        <v/>
      </c>
      <c r="J122" s="13" t="str">
        <f aca="false">IF(E122="","",E122-I122)</f>
        <v/>
      </c>
      <c r="K122" s="6"/>
      <c r="L122" s="6"/>
    </row>
    <row r="123" customFormat="false" ht="15" hidden="false" customHeight="false" outlineLevel="0" collapsed="false">
      <c r="A123" s="11"/>
      <c r="B123" s="6"/>
      <c r="C123" s="12" t="str">
        <f aca="false">IF(B123="","",IFERROR(INDEX('Black Registry'!$B$4:$B$103,MATCH(B123,'Black Registry'!$A$4:$A$103,0)),"Not found"))</f>
        <v/>
      </c>
      <c r="D123" s="6"/>
      <c r="E123" s="13" t="str">
        <f aca="false">IF(D123="","",IFERROR(INDEX('Reference Tables'!$B$3:$B$8,MATCH(D123,'Reference Tables'!$A$3:$A$8,0)),"Invalid package"))</f>
        <v/>
      </c>
      <c r="F123" s="12" t="str">
        <f aca="false">IF(D123="","",IFERROR(INDEX('Reference Tables'!$C$3:$C$8,MATCH(D123,'Reference Tables'!$A$3:$A$8,0)),"Invalid package"))</f>
        <v/>
      </c>
      <c r="G123" s="14" t="str">
        <f aca="false">IF(E123="","",'Reference Tables'!$C$16)</f>
        <v/>
      </c>
      <c r="H123" s="12" t="str">
        <f aca="false">IF(E123="","",IF(E123&gt;=150,"Yes","No"))</f>
        <v/>
      </c>
      <c r="I123" s="13" t="str">
        <f aca="false">IF(E123="","",IF(H123="Yes",E123*G123,0))</f>
        <v/>
      </c>
      <c r="J123" s="13" t="str">
        <f aca="false">IF(E123="","",E123-I123)</f>
        <v/>
      </c>
      <c r="K123" s="6"/>
      <c r="L123" s="6"/>
    </row>
    <row r="124" customFormat="false" ht="15" hidden="false" customHeight="false" outlineLevel="0" collapsed="false">
      <c r="A124" s="11"/>
      <c r="B124" s="6"/>
      <c r="C124" s="12" t="str">
        <f aca="false">IF(B124="","",IFERROR(INDEX('Black Registry'!$B$4:$B$103,MATCH(B124,'Black Registry'!$A$4:$A$103,0)),"Not found"))</f>
        <v/>
      </c>
      <c r="D124" s="6"/>
      <c r="E124" s="13" t="str">
        <f aca="false">IF(D124="","",IFERROR(INDEX('Reference Tables'!$B$3:$B$8,MATCH(D124,'Reference Tables'!$A$3:$A$8,0)),"Invalid package"))</f>
        <v/>
      </c>
      <c r="F124" s="12" t="str">
        <f aca="false">IF(D124="","",IFERROR(INDEX('Reference Tables'!$C$3:$C$8,MATCH(D124,'Reference Tables'!$A$3:$A$8,0)),"Invalid package"))</f>
        <v/>
      </c>
      <c r="G124" s="14" t="str">
        <f aca="false">IF(E124="","",'Reference Tables'!$C$16)</f>
        <v/>
      </c>
      <c r="H124" s="12" t="str">
        <f aca="false">IF(E124="","",IF(E124&gt;=150,"Yes","No"))</f>
        <v/>
      </c>
      <c r="I124" s="13" t="str">
        <f aca="false">IF(E124="","",IF(H124="Yes",E124*G124,0))</f>
        <v/>
      </c>
      <c r="J124" s="13" t="str">
        <f aca="false">IF(E124="","",E124-I124)</f>
        <v/>
      </c>
      <c r="K124" s="6"/>
      <c r="L124" s="6"/>
    </row>
    <row r="125" customFormat="false" ht="15" hidden="false" customHeight="false" outlineLevel="0" collapsed="false">
      <c r="A125" s="11"/>
      <c r="B125" s="6"/>
      <c r="C125" s="12" t="str">
        <f aca="false">IF(B125="","",IFERROR(INDEX('Black Registry'!$B$4:$B$103,MATCH(B125,'Black Registry'!$A$4:$A$103,0)),"Not found"))</f>
        <v/>
      </c>
      <c r="D125" s="6"/>
      <c r="E125" s="13" t="str">
        <f aca="false">IF(D125="","",IFERROR(INDEX('Reference Tables'!$B$3:$B$8,MATCH(D125,'Reference Tables'!$A$3:$A$8,0)),"Invalid package"))</f>
        <v/>
      </c>
      <c r="F125" s="12" t="str">
        <f aca="false">IF(D125="","",IFERROR(INDEX('Reference Tables'!$C$3:$C$8,MATCH(D125,'Reference Tables'!$A$3:$A$8,0)),"Invalid package"))</f>
        <v/>
      </c>
      <c r="G125" s="14" t="str">
        <f aca="false">IF(E125="","",'Reference Tables'!$C$16)</f>
        <v/>
      </c>
      <c r="H125" s="12" t="str">
        <f aca="false">IF(E125="","",IF(E125&gt;=150,"Yes","No"))</f>
        <v/>
      </c>
      <c r="I125" s="13" t="str">
        <f aca="false">IF(E125="","",IF(H125="Yes",E125*G125,0))</f>
        <v/>
      </c>
      <c r="J125" s="13" t="str">
        <f aca="false">IF(E125="","",E125-I125)</f>
        <v/>
      </c>
      <c r="K125" s="6"/>
      <c r="L125" s="6"/>
    </row>
    <row r="126" customFormat="false" ht="15" hidden="false" customHeight="false" outlineLevel="0" collapsed="false">
      <c r="A126" s="11"/>
      <c r="B126" s="6"/>
      <c r="C126" s="12" t="str">
        <f aca="false">IF(B126="","",IFERROR(INDEX('Black Registry'!$B$4:$B$103,MATCH(B126,'Black Registry'!$A$4:$A$103,0)),"Not found"))</f>
        <v/>
      </c>
      <c r="D126" s="6"/>
      <c r="E126" s="13" t="str">
        <f aca="false">IF(D126="","",IFERROR(INDEX('Reference Tables'!$B$3:$B$8,MATCH(D126,'Reference Tables'!$A$3:$A$8,0)),"Invalid package"))</f>
        <v/>
      </c>
      <c r="F126" s="12" t="str">
        <f aca="false">IF(D126="","",IFERROR(INDEX('Reference Tables'!$C$3:$C$8,MATCH(D126,'Reference Tables'!$A$3:$A$8,0)),"Invalid package"))</f>
        <v/>
      </c>
      <c r="G126" s="14" t="str">
        <f aca="false">IF(E126="","",'Reference Tables'!$C$16)</f>
        <v/>
      </c>
      <c r="H126" s="12" t="str">
        <f aca="false">IF(E126="","",IF(E126&gt;=150,"Yes","No"))</f>
        <v/>
      </c>
      <c r="I126" s="13" t="str">
        <f aca="false">IF(E126="","",IF(H126="Yes",E126*G126,0))</f>
        <v/>
      </c>
      <c r="J126" s="13" t="str">
        <f aca="false">IF(E126="","",E126-I126)</f>
        <v/>
      </c>
      <c r="K126" s="6"/>
      <c r="L126" s="6"/>
    </row>
    <row r="127" customFormat="false" ht="15" hidden="false" customHeight="false" outlineLevel="0" collapsed="false">
      <c r="A127" s="11"/>
      <c r="B127" s="6"/>
      <c r="C127" s="12" t="str">
        <f aca="false">IF(B127="","",IFERROR(INDEX('Black Registry'!$B$4:$B$103,MATCH(B127,'Black Registry'!$A$4:$A$103,0)),"Not found"))</f>
        <v/>
      </c>
      <c r="D127" s="6"/>
      <c r="E127" s="13" t="str">
        <f aca="false">IF(D127="","",IFERROR(INDEX('Reference Tables'!$B$3:$B$8,MATCH(D127,'Reference Tables'!$A$3:$A$8,0)),"Invalid package"))</f>
        <v/>
      </c>
      <c r="F127" s="12" t="str">
        <f aca="false">IF(D127="","",IFERROR(INDEX('Reference Tables'!$C$3:$C$8,MATCH(D127,'Reference Tables'!$A$3:$A$8,0)),"Invalid package"))</f>
        <v/>
      </c>
      <c r="G127" s="14" t="str">
        <f aca="false">IF(E127="","",'Reference Tables'!$C$16)</f>
        <v/>
      </c>
      <c r="H127" s="12" t="str">
        <f aca="false">IF(E127="","",IF(E127&gt;=150,"Yes","No"))</f>
        <v/>
      </c>
      <c r="I127" s="13" t="str">
        <f aca="false">IF(E127="","",IF(H127="Yes",E127*G127,0))</f>
        <v/>
      </c>
      <c r="J127" s="13" t="str">
        <f aca="false">IF(E127="","",E127-I127)</f>
        <v/>
      </c>
      <c r="K127" s="6"/>
      <c r="L127" s="6"/>
    </row>
    <row r="128" customFormat="false" ht="15" hidden="false" customHeight="false" outlineLevel="0" collapsed="false">
      <c r="A128" s="11"/>
      <c r="B128" s="6"/>
      <c r="C128" s="12" t="str">
        <f aca="false">IF(B128="","",IFERROR(INDEX('Black Registry'!$B$4:$B$103,MATCH(B128,'Black Registry'!$A$4:$A$103,0)),"Not found"))</f>
        <v/>
      </c>
      <c r="D128" s="6"/>
      <c r="E128" s="13" t="str">
        <f aca="false">IF(D128="","",IFERROR(INDEX('Reference Tables'!$B$3:$B$8,MATCH(D128,'Reference Tables'!$A$3:$A$8,0)),"Invalid package"))</f>
        <v/>
      </c>
      <c r="F128" s="12" t="str">
        <f aca="false">IF(D128="","",IFERROR(INDEX('Reference Tables'!$C$3:$C$8,MATCH(D128,'Reference Tables'!$A$3:$A$8,0)),"Invalid package"))</f>
        <v/>
      </c>
      <c r="G128" s="14" t="str">
        <f aca="false">IF(E128="","",'Reference Tables'!$C$16)</f>
        <v/>
      </c>
      <c r="H128" s="12" t="str">
        <f aca="false">IF(E128="","",IF(E128&gt;=150,"Yes","No"))</f>
        <v/>
      </c>
      <c r="I128" s="13" t="str">
        <f aca="false">IF(E128="","",IF(H128="Yes",E128*G128,0))</f>
        <v/>
      </c>
      <c r="J128" s="13" t="str">
        <f aca="false">IF(E128="","",E128-I128)</f>
        <v/>
      </c>
      <c r="K128" s="6"/>
      <c r="L128" s="6"/>
    </row>
    <row r="129" customFormat="false" ht="15" hidden="false" customHeight="false" outlineLevel="0" collapsed="false">
      <c r="A129" s="11"/>
      <c r="B129" s="6"/>
      <c r="C129" s="12" t="str">
        <f aca="false">IF(B129="","",IFERROR(INDEX('Black Registry'!$B$4:$B$103,MATCH(B129,'Black Registry'!$A$4:$A$103,0)),"Not found"))</f>
        <v/>
      </c>
      <c r="D129" s="6"/>
      <c r="E129" s="13" t="str">
        <f aca="false">IF(D129="","",IFERROR(INDEX('Reference Tables'!$B$3:$B$8,MATCH(D129,'Reference Tables'!$A$3:$A$8,0)),"Invalid package"))</f>
        <v/>
      </c>
      <c r="F129" s="12" t="str">
        <f aca="false">IF(D129="","",IFERROR(INDEX('Reference Tables'!$C$3:$C$8,MATCH(D129,'Reference Tables'!$A$3:$A$8,0)),"Invalid package"))</f>
        <v/>
      </c>
      <c r="G129" s="14" t="str">
        <f aca="false">IF(E129="","",'Reference Tables'!$C$16)</f>
        <v/>
      </c>
      <c r="H129" s="12" t="str">
        <f aca="false">IF(E129="","",IF(E129&gt;=150,"Yes","No"))</f>
        <v/>
      </c>
      <c r="I129" s="13" t="str">
        <f aca="false">IF(E129="","",IF(H129="Yes",E129*G129,0))</f>
        <v/>
      </c>
      <c r="J129" s="13" t="str">
        <f aca="false">IF(E129="","",E129-I129)</f>
        <v/>
      </c>
      <c r="K129" s="6"/>
      <c r="L129" s="6"/>
    </row>
    <row r="130" customFormat="false" ht="15" hidden="false" customHeight="false" outlineLevel="0" collapsed="false">
      <c r="A130" s="11"/>
      <c r="B130" s="6"/>
      <c r="C130" s="12" t="str">
        <f aca="false">IF(B130="","",IFERROR(INDEX('Black Registry'!$B$4:$B$103,MATCH(B130,'Black Registry'!$A$4:$A$103,0)),"Not found"))</f>
        <v/>
      </c>
      <c r="D130" s="6"/>
      <c r="E130" s="13" t="str">
        <f aca="false">IF(D130="","",IFERROR(INDEX('Reference Tables'!$B$3:$B$8,MATCH(D130,'Reference Tables'!$A$3:$A$8,0)),"Invalid package"))</f>
        <v/>
      </c>
      <c r="F130" s="12" t="str">
        <f aca="false">IF(D130="","",IFERROR(INDEX('Reference Tables'!$C$3:$C$8,MATCH(D130,'Reference Tables'!$A$3:$A$8,0)),"Invalid package"))</f>
        <v/>
      </c>
      <c r="G130" s="14" t="str">
        <f aca="false">IF(E130="","",'Reference Tables'!$C$16)</f>
        <v/>
      </c>
      <c r="H130" s="12" t="str">
        <f aca="false">IF(E130="","",IF(E130&gt;=150,"Yes","No"))</f>
        <v/>
      </c>
      <c r="I130" s="13" t="str">
        <f aca="false">IF(E130="","",IF(H130="Yes",E130*G130,0))</f>
        <v/>
      </c>
      <c r="J130" s="13" t="str">
        <f aca="false">IF(E130="","",E130-I130)</f>
        <v/>
      </c>
      <c r="K130" s="6"/>
      <c r="L130" s="6"/>
    </row>
    <row r="131" customFormat="false" ht="15" hidden="false" customHeight="false" outlineLevel="0" collapsed="false">
      <c r="A131" s="11"/>
      <c r="B131" s="6"/>
      <c r="C131" s="12" t="str">
        <f aca="false">IF(B131="","",IFERROR(INDEX('Black Registry'!$B$4:$B$103,MATCH(B131,'Black Registry'!$A$4:$A$103,0)),"Not found"))</f>
        <v/>
      </c>
      <c r="D131" s="6"/>
      <c r="E131" s="13" t="str">
        <f aca="false">IF(D131="","",IFERROR(INDEX('Reference Tables'!$B$3:$B$8,MATCH(D131,'Reference Tables'!$A$3:$A$8,0)),"Invalid package"))</f>
        <v/>
      </c>
      <c r="F131" s="12" t="str">
        <f aca="false">IF(D131="","",IFERROR(INDEX('Reference Tables'!$C$3:$C$8,MATCH(D131,'Reference Tables'!$A$3:$A$8,0)),"Invalid package"))</f>
        <v/>
      </c>
      <c r="G131" s="14" t="str">
        <f aca="false">IF(E131="","",'Reference Tables'!$C$16)</f>
        <v/>
      </c>
      <c r="H131" s="12" t="str">
        <f aca="false">IF(E131="","",IF(E131&gt;=150,"Yes","No"))</f>
        <v/>
      </c>
      <c r="I131" s="13" t="str">
        <f aca="false">IF(E131="","",IF(H131="Yes",E131*G131,0))</f>
        <v/>
      </c>
      <c r="J131" s="13" t="str">
        <f aca="false">IF(E131="","",E131-I131)</f>
        <v/>
      </c>
      <c r="K131" s="6"/>
      <c r="L131" s="6"/>
    </row>
    <row r="132" customFormat="false" ht="15" hidden="false" customHeight="false" outlineLevel="0" collapsed="false">
      <c r="A132" s="11"/>
      <c r="B132" s="6"/>
      <c r="C132" s="12" t="str">
        <f aca="false">IF(B132="","",IFERROR(INDEX('Black Registry'!$B$4:$B$103,MATCH(B132,'Black Registry'!$A$4:$A$103,0)),"Not found"))</f>
        <v/>
      </c>
      <c r="D132" s="6"/>
      <c r="E132" s="13" t="str">
        <f aca="false">IF(D132="","",IFERROR(INDEX('Reference Tables'!$B$3:$B$8,MATCH(D132,'Reference Tables'!$A$3:$A$8,0)),"Invalid package"))</f>
        <v/>
      </c>
      <c r="F132" s="12" t="str">
        <f aca="false">IF(D132="","",IFERROR(INDEX('Reference Tables'!$C$3:$C$8,MATCH(D132,'Reference Tables'!$A$3:$A$8,0)),"Invalid package"))</f>
        <v/>
      </c>
      <c r="G132" s="14" t="str">
        <f aca="false">IF(E132="","",'Reference Tables'!$C$16)</f>
        <v/>
      </c>
      <c r="H132" s="12" t="str">
        <f aca="false">IF(E132="","",IF(E132&gt;=150,"Yes","No"))</f>
        <v/>
      </c>
      <c r="I132" s="13" t="str">
        <f aca="false">IF(E132="","",IF(H132="Yes",E132*G132,0))</f>
        <v/>
      </c>
      <c r="J132" s="13" t="str">
        <f aca="false">IF(E132="","",E132-I132)</f>
        <v/>
      </c>
      <c r="K132" s="6"/>
      <c r="L132" s="6"/>
    </row>
    <row r="133" customFormat="false" ht="15" hidden="false" customHeight="false" outlineLevel="0" collapsed="false">
      <c r="A133" s="11"/>
      <c r="B133" s="6"/>
      <c r="C133" s="12" t="str">
        <f aca="false">IF(B133="","",IFERROR(INDEX('Black Registry'!$B$4:$B$103,MATCH(B133,'Black Registry'!$A$4:$A$103,0)),"Not found"))</f>
        <v/>
      </c>
      <c r="D133" s="6"/>
      <c r="E133" s="13" t="str">
        <f aca="false">IF(D133="","",IFERROR(INDEX('Reference Tables'!$B$3:$B$8,MATCH(D133,'Reference Tables'!$A$3:$A$8,0)),"Invalid package"))</f>
        <v/>
      </c>
      <c r="F133" s="12" t="str">
        <f aca="false">IF(D133="","",IFERROR(INDEX('Reference Tables'!$C$3:$C$8,MATCH(D133,'Reference Tables'!$A$3:$A$8,0)),"Invalid package"))</f>
        <v/>
      </c>
      <c r="G133" s="14" t="str">
        <f aca="false">IF(E133="","",'Reference Tables'!$C$16)</f>
        <v/>
      </c>
      <c r="H133" s="12" t="str">
        <f aca="false">IF(E133="","",IF(E133&gt;=150,"Yes","No"))</f>
        <v/>
      </c>
      <c r="I133" s="13" t="str">
        <f aca="false">IF(E133="","",IF(H133="Yes",E133*G133,0))</f>
        <v/>
      </c>
      <c r="J133" s="13" t="str">
        <f aca="false">IF(E133="","",E133-I133)</f>
        <v/>
      </c>
      <c r="K133" s="6"/>
      <c r="L133" s="6"/>
    </row>
    <row r="134" customFormat="false" ht="15" hidden="false" customHeight="false" outlineLevel="0" collapsed="false">
      <c r="A134" s="11"/>
      <c r="B134" s="6"/>
      <c r="C134" s="12" t="str">
        <f aca="false">IF(B134="","",IFERROR(INDEX('Black Registry'!$B$4:$B$103,MATCH(B134,'Black Registry'!$A$4:$A$103,0)),"Not found"))</f>
        <v/>
      </c>
      <c r="D134" s="6"/>
      <c r="E134" s="13" t="str">
        <f aca="false">IF(D134="","",IFERROR(INDEX('Reference Tables'!$B$3:$B$8,MATCH(D134,'Reference Tables'!$A$3:$A$8,0)),"Invalid package"))</f>
        <v/>
      </c>
      <c r="F134" s="12" t="str">
        <f aca="false">IF(D134="","",IFERROR(INDEX('Reference Tables'!$C$3:$C$8,MATCH(D134,'Reference Tables'!$A$3:$A$8,0)),"Invalid package"))</f>
        <v/>
      </c>
      <c r="G134" s="14" t="str">
        <f aca="false">IF(E134="","",'Reference Tables'!$C$16)</f>
        <v/>
      </c>
      <c r="H134" s="12" t="str">
        <f aca="false">IF(E134="","",IF(E134&gt;=150,"Yes","No"))</f>
        <v/>
      </c>
      <c r="I134" s="13" t="str">
        <f aca="false">IF(E134="","",IF(H134="Yes",E134*G134,0))</f>
        <v/>
      </c>
      <c r="J134" s="13" t="str">
        <f aca="false">IF(E134="","",E134-I134)</f>
        <v/>
      </c>
      <c r="K134" s="6"/>
      <c r="L134" s="6"/>
    </row>
    <row r="135" customFormat="false" ht="15" hidden="false" customHeight="false" outlineLevel="0" collapsed="false">
      <c r="A135" s="11"/>
      <c r="B135" s="6"/>
      <c r="C135" s="12" t="str">
        <f aca="false">IF(B135="","",IFERROR(INDEX('Black Registry'!$B$4:$B$103,MATCH(B135,'Black Registry'!$A$4:$A$103,0)),"Not found"))</f>
        <v/>
      </c>
      <c r="D135" s="6"/>
      <c r="E135" s="13" t="str">
        <f aca="false">IF(D135="","",IFERROR(INDEX('Reference Tables'!$B$3:$B$8,MATCH(D135,'Reference Tables'!$A$3:$A$8,0)),"Invalid package"))</f>
        <v/>
      </c>
      <c r="F135" s="12" t="str">
        <f aca="false">IF(D135="","",IFERROR(INDEX('Reference Tables'!$C$3:$C$8,MATCH(D135,'Reference Tables'!$A$3:$A$8,0)),"Invalid package"))</f>
        <v/>
      </c>
      <c r="G135" s="14" t="str">
        <f aca="false">IF(E135="","",'Reference Tables'!$C$16)</f>
        <v/>
      </c>
      <c r="H135" s="12" t="str">
        <f aca="false">IF(E135="","",IF(E135&gt;=150,"Yes","No"))</f>
        <v/>
      </c>
      <c r="I135" s="13" t="str">
        <f aca="false">IF(E135="","",IF(H135="Yes",E135*G135,0))</f>
        <v/>
      </c>
      <c r="J135" s="13" t="str">
        <f aca="false">IF(E135="","",E135-I135)</f>
        <v/>
      </c>
      <c r="K135" s="6"/>
      <c r="L135" s="6"/>
    </row>
    <row r="136" customFormat="false" ht="15" hidden="false" customHeight="false" outlineLevel="0" collapsed="false">
      <c r="A136" s="11"/>
      <c r="B136" s="6"/>
      <c r="C136" s="12" t="str">
        <f aca="false">IF(B136="","",IFERROR(INDEX('Black Registry'!$B$4:$B$103,MATCH(B136,'Black Registry'!$A$4:$A$103,0)),"Not found"))</f>
        <v/>
      </c>
      <c r="D136" s="6"/>
      <c r="E136" s="13" t="str">
        <f aca="false">IF(D136="","",IFERROR(INDEX('Reference Tables'!$B$3:$B$8,MATCH(D136,'Reference Tables'!$A$3:$A$8,0)),"Invalid package"))</f>
        <v/>
      </c>
      <c r="F136" s="12" t="str">
        <f aca="false">IF(D136="","",IFERROR(INDEX('Reference Tables'!$C$3:$C$8,MATCH(D136,'Reference Tables'!$A$3:$A$8,0)),"Invalid package"))</f>
        <v/>
      </c>
      <c r="G136" s="14" t="str">
        <f aca="false">IF(E136="","",'Reference Tables'!$C$16)</f>
        <v/>
      </c>
      <c r="H136" s="12" t="str">
        <f aca="false">IF(E136="","",IF(E136&gt;=150,"Yes","No"))</f>
        <v/>
      </c>
      <c r="I136" s="13" t="str">
        <f aca="false">IF(E136="","",IF(H136="Yes",E136*G136,0))</f>
        <v/>
      </c>
      <c r="J136" s="13" t="str">
        <f aca="false">IF(E136="","",E136-I136)</f>
        <v/>
      </c>
      <c r="K136" s="6"/>
      <c r="L136" s="6"/>
    </row>
    <row r="137" customFormat="false" ht="15" hidden="false" customHeight="false" outlineLevel="0" collapsed="false">
      <c r="A137" s="11"/>
      <c r="B137" s="6"/>
      <c r="C137" s="12" t="str">
        <f aca="false">IF(B137="","",IFERROR(INDEX('Black Registry'!$B$4:$B$103,MATCH(B137,'Black Registry'!$A$4:$A$103,0)),"Not found"))</f>
        <v/>
      </c>
      <c r="D137" s="6"/>
      <c r="E137" s="13" t="str">
        <f aca="false">IF(D137="","",IFERROR(INDEX('Reference Tables'!$B$3:$B$8,MATCH(D137,'Reference Tables'!$A$3:$A$8,0)),"Invalid package"))</f>
        <v/>
      </c>
      <c r="F137" s="12" t="str">
        <f aca="false">IF(D137="","",IFERROR(INDEX('Reference Tables'!$C$3:$C$8,MATCH(D137,'Reference Tables'!$A$3:$A$8,0)),"Invalid package"))</f>
        <v/>
      </c>
      <c r="G137" s="14" t="str">
        <f aca="false">IF(E137="","",'Reference Tables'!$C$16)</f>
        <v/>
      </c>
      <c r="H137" s="12" t="str">
        <f aca="false">IF(E137="","",IF(E137&gt;=150,"Yes","No"))</f>
        <v/>
      </c>
      <c r="I137" s="13" t="str">
        <f aca="false">IF(E137="","",IF(H137="Yes",E137*G137,0))</f>
        <v/>
      </c>
      <c r="J137" s="13" t="str">
        <f aca="false">IF(E137="","",E137-I137)</f>
        <v/>
      </c>
      <c r="K137" s="6"/>
      <c r="L137" s="6"/>
    </row>
    <row r="138" customFormat="false" ht="15" hidden="false" customHeight="false" outlineLevel="0" collapsed="false">
      <c r="A138" s="11"/>
      <c r="B138" s="6"/>
      <c r="C138" s="12" t="str">
        <f aca="false">IF(B138="","",IFERROR(INDEX('Black Registry'!$B$4:$B$103,MATCH(B138,'Black Registry'!$A$4:$A$103,0)),"Not found"))</f>
        <v/>
      </c>
      <c r="D138" s="6"/>
      <c r="E138" s="13" t="str">
        <f aca="false">IF(D138="","",IFERROR(INDEX('Reference Tables'!$B$3:$B$8,MATCH(D138,'Reference Tables'!$A$3:$A$8,0)),"Invalid package"))</f>
        <v/>
      </c>
      <c r="F138" s="12" t="str">
        <f aca="false">IF(D138="","",IFERROR(INDEX('Reference Tables'!$C$3:$C$8,MATCH(D138,'Reference Tables'!$A$3:$A$8,0)),"Invalid package"))</f>
        <v/>
      </c>
      <c r="G138" s="14" t="str">
        <f aca="false">IF(E138="","",'Reference Tables'!$C$16)</f>
        <v/>
      </c>
      <c r="H138" s="12" t="str">
        <f aca="false">IF(E138="","",IF(E138&gt;=150,"Yes","No"))</f>
        <v/>
      </c>
      <c r="I138" s="13" t="str">
        <f aca="false">IF(E138="","",IF(H138="Yes",E138*G138,0))</f>
        <v/>
      </c>
      <c r="J138" s="13" t="str">
        <f aca="false">IF(E138="","",E138-I138)</f>
        <v/>
      </c>
      <c r="K138" s="6"/>
      <c r="L138" s="6"/>
    </row>
    <row r="139" customFormat="false" ht="15" hidden="false" customHeight="false" outlineLevel="0" collapsed="false">
      <c r="A139" s="11"/>
      <c r="B139" s="6"/>
      <c r="C139" s="12" t="str">
        <f aca="false">IF(B139="","",IFERROR(INDEX('Black Registry'!$B$4:$B$103,MATCH(B139,'Black Registry'!$A$4:$A$103,0)),"Not found"))</f>
        <v/>
      </c>
      <c r="D139" s="6"/>
      <c r="E139" s="13" t="str">
        <f aca="false">IF(D139="","",IFERROR(INDEX('Reference Tables'!$B$3:$B$8,MATCH(D139,'Reference Tables'!$A$3:$A$8,0)),"Invalid package"))</f>
        <v/>
      </c>
      <c r="F139" s="12" t="str">
        <f aca="false">IF(D139="","",IFERROR(INDEX('Reference Tables'!$C$3:$C$8,MATCH(D139,'Reference Tables'!$A$3:$A$8,0)),"Invalid package"))</f>
        <v/>
      </c>
      <c r="G139" s="14" t="str">
        <f aca="false">IF(E139="","",'Reference Tables'!$C$16)</f>
        <v/>
      </c>
      <c r="H139" s="12" t="str">
        <f aca="false">IF(E139="","",IF(E139&gt;=150,"Yes","No"))</f>
        <v/>
      </c>
      <c r="I139" s="13" t="str">
        <f aca="false">IF(E139="","",IF(H139="Yes",E139*G139,0))</f>
        <v/>
      </c>
      <c r="J139" s="13" t="str">
        <f aca="false">IF(E139="","",E139-I139)</f>
        <v/>
      </c>
      <c r="K139" s="6"/>
      <c r="L139" s="6"/>
    </row>
    <row r="140" customFormat="false" ht="15" hidden="false" customHeight="false" outlineLevel="0" collapsed="false">
      <c r="A140" s="11"/>
      <c r="B140" s="6"/>
      <c r="C140" s="12" t="str">
        <f aca="false">IF(B140="","",IFERROR(INDEX('Black Registry'!$B$4:$B$103,MATCH(B140,'Black Registry'!$A$4:$A$103,0)),"Not found"))</f>
        <v/>
      </c>
      <c r="D140" s="6"/>
      <c r="E140" s="13" t="str">
        <f aca="false">IF(D140="","",IFERROR(INDEX('Reference Tables'!$B$3:$B$8,MATCH(D140,'Reference Tables'!$A$3:$A$8,0)),"Invalid package"))</f>
        <v/>
      </c>
      <c r="F140" s="12" t="str">
        <f aca="false">IF(D140="","",IFERROR(INDEX('Reference Tables'!$C$3:$C$8,MATCH(D140,'Reference Tables'!$A$3:$A$8,0)),"Invalid package"))</f>
        <v/>
      </c>
      <c r="G140" s="14" t="str">
        <f aca="false">IF(E140="","",'Reference Tables'!$C$16)</f>
        <v/>
      </c>
      <c r="H140" s="12" t="str">
        <f aca="false">IF(E140="","",IF(E140&gt;=150,"Yes","No"))</f>
        <v/>
      </c>
      <c r="I140" s="13" t="str">
        <f aca="false">IF(E140="","",IF(H140="Yes",E140*G140,0))</f>
        <v/>
      </c>
      <c r="J140" s="13" t="str">
        <f aca="false">IF(E140="","",E140-I140)</f>
        <v/>
      </c>
      <c r="K140" s="6"/>
      <c r="L140" s="6"/>
    </row>
    <row r="141" customFormat="false" ht="15" hidden="false" customHeight="false" outlineLevel="0" collapsed="false">
      <c r="A141" s="11"/>
      <c r="B141" s="6"/>
      <c r="C141" s="12" t="str">
        <f aca="false">IF(B141="","",IFERROR(INDEX('Black Registry'!$B$4:$B$103,MATCH(B141,'Black Registry'!$A$4:$A$103,0)),"Not found"))</f>
        <v/>
      </c>
      <c r="D141" s="6"/>
      <c r="E141" s="13" t="str">
        <f aca="false">IF(D141="","",IFERROR(INDEX('Reference Tables'!$B$3:$B$8,MATCH(D141,'Reference Tables'!$A$3:$A$8,0)),"Invalid package"))</f>
        <v/>
      </c>
      <c r="F141" s="12" t="str">
        <f aca="false">IF(D141="","",IFERROR(INDEX('Reference Tables'!$C$3:$C$8,MATCH(D141,'Reference Tables'!$A$3:$A$8,0)),"Invalid package"))</f>
        <v/>
      </c>
      <c r="G141" s="14" t="str">
        <f aca="false">IF(E141="","",'Reference Tables'!$C$16)</f>
        <v/>
      </c>
      <c r="H141" s="12" t="str">
        <f aca="false">IF(E141="","",IF(E141&gt;=150,"Yes","No"))</f>
        <v/>
      </c>
      <c r="I141" s="13" t="str">
        <f aca="false">IF(E141="","",IF(H141="Yes",E141*G141,0))</f>
        <v/>
      </c>
      <c r="J141" s="13" t="str">
        <f aca="false">IF(E141="","",E141-I141)</f>
        <v/>
      </c>
      <c r="K141" s="6"/>
      <c r="L141" s="6"/>
    </row>
    <row r="142" customFormat="false" ht="15" hidden="false" customHeight="false" outlineLevel="0" collapsed="false">
      <c r="A142" s="11"/>
      <c r="B142" s="6"/>
      <c r="C142" s="12" t="str">
        <f aca="false">IF(B142="","",IFERROR(INDEX('Black Registry'!$B$4:$B$103,MATCH(B142,'Black Registry'!$A$4:$A$103,0)),"Not found"))</f>
        <v/>
      </c>
      <c r="D142" s="6"/>
      <c r="E142" s="13" t="str">
        <f aca="false">IF(D142="","",IFERROR(INDEX('Reference Tables'!$B$3:$B$8,MATCH(D142,'Reference Tables'!$A$3:$A$8,0)),"Invalid package"))</f>
        <v/>
      </c>
      <c r="F142" s="12" t="str">
        <f aca="false">IF(D142="","",IFERROR(INDEX('Reference Tables'!$C$3:$C$8,MATCH(D142,'Reference Tables'!$A$3:$A$8,0)),"Invalid package"))</f>
        <v/>
      </c>
      <c r="G142" s="14" t="str">
        <f aca="false">IF(E142="","",'Reference Tables'!$C$16)</f>
        <v/>
      </c>
      <c r="H142" s="12" t="str">
        <f aca="false">IF(E142="","",IF(E142&gt;=150,"Yes","No"))</f>
        <v/>
      </c>
      <c r="I142" s="13" t="str">
        <f aca="false">IF(E142="","",IF(H142="Yes",E142*G142,0))</f>
        <v/>
      </c>
      <c r="J142" s="13" t="str">
        <f aca="false">IF(E142="","",E142-I142)</f>
        <v/>
      </c>
      <c r="K142" s="6"/>
      <c r="L142" s="6"/>
    </row>
    <row r="143" customFormat="false" ht="15" hidden="false" customHeight="false" outlineLevel="0" collapsed="false">
      <c r="A143" s="11"/>
      <c r="B143" s="6"/>
      <c r="C143" s="12" t="str">
        <f aca="false">IF(B143="","",IFERROR(INDEX('Black Registry'!$B$4:$B$103,MATCH(B143,'Black Registry'!$A$4:$A$103,0)),"Not found"))</f>
        <v/>
      </c>
      <c r="D143" s="6"/>
      <c r="E143" s="13" t="str">
        <f aca="false">IF(D143="","",IFERROR(INDEX('Reference Tables'!$B$3:$B$8,MATCH(D143,'Reference Tables'!$A$3:$A$8,0)),"Invalid package"))</f>
        <v/>
      </c>
      <c r="F143" s="12" t="str">
        <f aca="false">IF(D143="","",IFERROR(INDEX('Reference Tables'!$C$3:$C$8,MATCH(D143,'Reference Tables'!$A$3:$A$8,0)),"Invalid package"))</f>
        <v/>
      </c>
      <c r="G143" s="14" t="str">
        <f aca="false">IF(E143="","",'Reference Tables'!$C$16)</f>
        <v/>
      </c>
      <c r="H143" s="12" t="str">
        <f aca="false">IF(E143="","",IF(E143&gt;=150,"Yes","No"))</f>
        <v/>
      </c>
      <c r="I143" s="13" t="str">
        <f aca="false">IF(E143="","",IF(H143="Yes",E143*G143,0))</f>
        <v/>
      </c>
      <c r="J143" s="13" t="str">
        <f aca="false">IF(E143="","",E143-I143)</f>
        <v/>
      </c>
      <c r="K143" s="6"/>
      <c r="L143" s="6"/>
    </row>
    <row r="144" customFormat="false" ht="15" hidden="false" customHeight="false" outlineLevel="0" collapsed="false">
      <c r="A144" s="11"/>
      <c r="B144" s="6"/>
      <c r="C144" s="12" t="str">
        <f aca="false">IF(B144="","",IFERROR(INDEX('Black Registry'!$B$4:$B$103,MATCH(B144,'Black Registry'!$A$4:$A$103,0)),"Not found"))</f>
        <v/>
      </c>
      <c r="D144" s="6"/>
      <c r="E144" s="13" t="str">
        <f aca="false">IF(D144="","",IFERROR(INDEX('Reference Tables'!$B$3:$B$8,MATCH(D144,'Reference Tables'!$A$3:$A$8,0)),"Invalid package"))</f>
        <v/>
      </c>
      <c r="F144" s="12" t="str">
        <f aca="false">IF(D144="","",IFERROR(INDEX('Reference Tables'!$C$3:$C$8,MATCH(D144,'Reference Tables'!$A$3:$A$8,0)),"Invalid package"))</f>
        <v/>
      </c>
      <c r="G144" s="14" t="str">
        <f aca="false">IF(E144="","",'Reference Tables'!$C$16)</f>
        <v/>
      </c>
      <c r="H144" s="12" t="str">
        <f aca="false">IF(E144="","",IF(E144&gt;=150,"Yes","No"))</f>
        <v/>
      </c>
      <c r="I144" s="13" t="str">
        <f aca="false">IF(E144="","",IF(H144="Yes",E144*G144,0))</f>
        <v/>
      </c>
      <c r="J144" s="13" t="str">
        <f aca="false">IF(E144="","",E144-I144)</f>
        <v/>
      </c>
      <c r="K144" s="6"/>
      <c r="L144" s="6"/>
    </row>
    <row r="145" customFormat="false" ht="15" hidden="false" customHeight="false" outlineLevel="0" collapsed="false">
      <c r="A145" s="11"/>
      <c r="B145" s="6"/>
      <c r="C145" s="12" t="str">
        <f aca="false">IF(B145="","",IFERROR(INDEX('Black Registry'!$B$4:$B$103,MATCH(B145,'Black Registry'!$A$4:$A$103,0)),"Not found"))</f>
        <v/>
      </c>
      <c r="D145" s="6"/>
      <c r="E145" s="13" t="str">
        <f aca="false">IF(D145="","",IFERROR(INDEX('Reference Tables'!$B$3:$B$8,MATCH(D145,'Reference Tables'!$A$3:$A$8,0)),"Invalid package"))</f>
        <v/>
      </c>
      <c r="F145" s="12" t="str">
        <f aca="false">IF(D145="","",IFERROR(INDEX('Reference Tables'!$C$3:$C$8,MATCH(D145,'Reference Tables'!$A$3:$A$8,0)),"Invalid package"))</f>
        <v/>
      </c>
      <c r="G145" s="14" t="str">
        <f aca="false">IF(E145="","",'Reference Tables'!$C$16)</f>
        <v/>
      </c>
      <c r="H145" s="12" t="str">
        <f aca="false">IF(E145="","",IF(E145&gt;=150,"Yes","No"))</f>
        <v/>
      </c>
      <c r="I145" s="13" t="str">
        <f aca="false">IF(E145="","",IF(H145="Yes",E145*G145,0))</f>
        <v/>
      </c>
      <c r="J145" s="13" t="str">
        <f aca="false">IF(E145="","",E145-I145)</f>
        <v/>
      </c>
      <c r="K145" s="6"/>
      <c r="L145" s="6"/>
    </row>
    <row r="146" customFormat="false" ht="15" hidden="false" customHeight="false" outlineLevel="0" collapsed="false">
      <c r="A146" s="11"/>
      <c r="B146" s="6"/>
      <c r="C146" s="12" t="str">
        <f aca="false">IF(B146="","",IFERROR(INDEX('Black Registry'!$B$4:$B$103,MATCH(B146,'Black Registry'!$A$4:$A$103,0)),"Not found"))</f>
        <v/>
      </c>
      <c r="D146" s="6"/>
      <c r="E146" s="13" t="str">
        <f aca="false">IF(D146="","",IFERROR(INDEX('Reference Tables'!$B$3:$B$8,MATCH(D146,'Reference Tables'!$A$3:$A$8,0)),"Invalid package"))</f>
        <v/>
      </c>
      <c r="F146" s="12" t="str">
        <f aca="false">IF(D146="","",IFERROR(INDEX('Reference Tables'!$C$3:$C$8,MATCH(D146,'Reference Tables'!$A$3:$A$8,0)),"Invalid package"))</f>
        <v/>
      </c>
      <c r="G146" s="14" t="str">
        <f aca="false">IF(E146="","",'Reference Tables'!$C$16)</f>
        <v/>
      </c>
      <c r="H146" s="12" t="str">
        <f aca="false">IF(E146="","",IF(E146&gt;=150,"Yes","No"))</f>
        <v/>
      </c>
      <c r="I146" s="13" t="str">
        <f aca="false">IF(E146="","",IF(H146="Yes",E146*G146,0))</f>
        <v/>
      </c>
      <c r="J146" s="13" t="str">
        <f aca="false">IF(E146="","",E146-I146)</f>
        <v/>
      </c>
      <c r="K146" s="6"/>
      <c r="L146" s="6"/>
    </row>
    <row r="147" customFormat="false" ht="15" hidden="false" customHeight="false" outlineLevel="0" collapsed="false">
      <c r="A147" s="11"/>
      <c r="B147" s="6"/>
      <c r="C147" s="12" t="str">
        <f aca="false">IF(B147="","",IFERROR(INDEX('Black Registry'!$B$4:$B$103,MATCH(B147,'Black Registry'!$A$4:$A$103,0)),"Not found"))</f>
        <v/>
      </c>
      <c r="D147" s="6"/>
      <c r="E147" s="13" t="str">
        <f aca="false">IF(D147="","",IFERROR(INDEX('Reference Tables'!$B$3:$B$8,MATCH(D147,'Reference Tables'!$A$3:$A$8,0)),"Invalid package"))</f>
        <v/>
      </c>
      <c r="F147" s="12" t="str">
        <f aca="false">IF(D147="","",IFERROR(INDEX('Reference Tables'!$C$3:$C$8,MATCH(D147,'Reference Tables'!$A$3:$A$8,0)),"Invalid package"))</f>
        <v/>
      </c>
      <c r="G147" s="14" t="str">
        <f aca="false">IF(E147="","",'Reference Tables'!$C$16)</f>
        <v/>
      </c>
      <c r="H147" s="12" t="str">
        <f aca="false">IF(E147="","",IF(E147&gt;=150,"Yes","No"))</f>
        <v/>
      </c>
      <c r="I147" s="13" t="str">
        <f aca="false">IF(E147="","",IF(H147="Yes",E147*G147,0))</f>
        <v/>
      </c>
      <c r="J147" s="13" t="str">
        <f aca="false">IF(E147="","",E147-I147)</f>
        <v/>
      </c>
      <c r="K147" s="6"/>
      <c r="L147" s="6"/>
    </row>
    <row r="148" customFormat="false" ht="15" hidden="false" customHeight="false" outlineLevel="0" collapsed="false">
      <c r="A148" s="11"/>
      <c r="B148" s="6"/>
      <c r="C148" s="12" t="str">
        <f aca="false">IF(B148="","",IFERROR(INDEX('Black Registry'!$B$4:$B$103,MATCH(B148,'Black Registry'!$A$4:$A$103,0)),"Not found"))</f>
        <v/>
      </c>
      <c r="D148" s="6"/>
      <c r="E148" s="13" t="str">
        <f aca="false">IF(D148="","",IFERROR(INDEX('Reference Tables'!$B$3:$B$8,MATCH(D148,'Reference Tables'!$A$3:$A$8,0)),"Invalid package"))</f>
        <v/>
      </c>
      <c r="F148" s="12" t="str">
        <f aca="false">IF(D148="","",IFERROR(INDEX('Reference Tables'!$C$3:$C$8,MATCH(D148,'Reference Tables'!$A$3:$A$8,0)),"Invalid package"))</f>
        <v/>
      </c>
      <c r="G148" s="14" t="str">
        <f aca="false">IF(E148="","",'Reference Tables'!$C$16)</f>
        <v/>
      </c>
      <c r="H148" s="12" t="str">
        <f aca="false">IF(E148="","",IF(E148&gt;=150,"Yes","No"))</f>
        <v/>
      </c>
      <c r="I148" s="13" t="str">
        <f aca="false">IF(E148="","",IF(H148="Yes",E148*G148,0))</f>
        <v/>
      </c>
      <c r="J148" s="13" t="str">
        <f aca="false">IF(E148="","",E148-I148)</f>
        <v/>
      </c>
      <c r="K148" s="6"/>
      <c r="L148" s="6"/>
    </row>
    <row r="149" customFormat="false" ht="15" hidden="false" customHeight="false" outlineLevel="0" collapsed="false">
      <c r="A149" s="11"/>
      <c r="B149" s="6"/>
      <c r="C149" s="12" t="str">
        <f aca="false">IF(B149="","",IFERROR(INDEX('Black Registry'!$B$4:$B$103,MATCH(B149,'Black Registry'!$A$4:$A$103,0)),"Not found"))</f>
        <v/>
      </c>
      <c r="D149" s="6"/>
      <c r="E149" s="13" t="str">
        <f aca="false">IF(D149="","",IFERROR(INDEX('Reference Tables'!$B$3:$B$8,MATCH(D149,'Reference Tables'!$A$3:$A$8,0)),"Invalid package"))</f>
        <v/>
      </c>
      <c r="F149" s="12" t="str">
        <f aca="false">IF(D149="","",IFERROR(INDEX('Reference Tables'!$C$3:$C$8,MATCH(D149,'Reference Tables'!$A$3:$A$8,0)),"Invalid package"))</f>
        <v/>
      </c>
      <c r="G149" s="14" t="str">
        <f aca="false">IF(E149="","",'Reference Tables'!$C$16)</f>
        <v/>
      </c>
      <c r="H149" s="12" t="str">
        <f aca="false">IF(E149="","",IF(E149&gt;=150,"Yes","No"))</f>
        <v/>
      </c>
      <c r="I149" s="13" t="str">
        <f aca="false">IF(E149="","",IF(H149="Yes",E149*G149,0))</f>
        <v/>
      </c>
      <c r="J149" s="13" t="str">
        <f aca="false">IF(E149="","",E149-I149)</f>
        <v/>
      </c>
      <c r="K149" s="6"/>
      <c r="L149" s="6"/>
    </row>
    <row r="150" customFormat="false" ht="15" hidden="false" customHeight="false" outlineLevel="0" collapsed="false">
      <c r="A150" s="11"/>
      <c r="B150" s="6"/>
      <c r="C150" s="12" t="str">
        <f aca="false">IF(B150="","",IFERROR(INDEX('Black Registry'!$B$4:$B$103,MATCH(B150,'Black Registry'!$A$4:$A$103,0)),"Not found"))</f>
        <v/>
      </c>
      <c r="D150" s="6"/>
      <c r="E150" s="13" t="str">
        <f aca="false">IF(D150="","",IFERROR(INDEX('Reference Tables'!$B$3:$B$8,MATCH(D150,'Reference Tables'!$A$3:$A$8,0)),"Invalid package"))</f>
        <v/>
      </c>
      <c r="F150" s="12" t="str">
        <f aca="false">IF(D150="","",IFERROR(INDEX('Reference Tables'!$C$3:$C$8,MATCH(D150,'Reference Tables'!$A$3:$A$8,0)),"Invalid package"))</f>
        <v/>
      </c>
      <c r="G150" s="14" t="str">
        <f aca="false">IF(E150="","",'Reference Tables'!$C$16)</f>
        <v/>
      </c>
      <c r="H150" s="12" t="str">
        <f aca="false">IF(E150="","",IF(E150&gt;=150,"Yes","No"))</f>
        <v/>
      </c>
      <c r="I150" s="13" t="str">
        <f aca="false">IF(E150="","",IF(H150="Yes",E150*G150,0))</f>
        <v/>
      </c>
      <c r="J150" s="13" t="str">
        <f aca="false">IF(E150="","",E150-I150)</f>
        <v/>
      </c>
      <c r="K150" s="6"/>
      <c r="L150" s="6"/>
    </row>
    <row r="151" customFormat="false" ht="15" hidden="false" customHeight="false" outlineLevel="0" collapsed="false">
      <c r="A151" s="11"/>
      <c r="B151" s="6"/>
      <c r="C151" s="12" t="str">
        <f aca="false">IF(B151="","",IFERROR(INDEX('Black Registry'!$B$4:$B$103,MATCH(B151,'Black Registry'!$A$4:$A$103,0)),"Not found"))</f>
        <v/>
      </c>
      <c r="D151" s="6"/>
      <c r="E151" s="13" t="str">
        <f aca="false">IF(D151="","",IFERROR(INDEX('Reference Tables'!$B$3:$B$8,MATCH(D151,'Reference Tables'!$A$3:$A$8,0)),"Invalid package"))</f>
        <v/>
      </c>
      <c r="F151" s="12" t="str">
        <f aca="false">IF(D151="","",IFERROR(INDEX('Reference Tables'!$C$3:$C$8,MATCH(D151,'Reference Tables'!$A$3:$A$8,0)),"Invalid package"))</f>
        <v/>
      </c>
      <c r="G151" s="14" t="str">
        <f aca="false">IF(E151="","",'Reference Tables'!$C$16)</f>
        <v/>
      </c>
      <c r="H151" s="12" t="str">
        <f aca="false">IF(E151="","",IF(E151&gt;=150,"Yes","No"))</f>
        <v/>
      </c>
      <c r="I151" s="13" t="str">
        <f aca="false">IF(E151="","",IF(H151="Yes",E151*G151,0))</f>
        <v/>
      </c>
      <c r="J151" s="13" t="str">
        <f aca="false">IF(E151="","",E151-I151)</f>
        <v/>
      </c>
      <c r="K151" s="6"/>
      <c r="L151" s="6"/>
    </row>
    <row r="152" customFormat="false" ht="15" hidden="false" customHeight="false" outlineLevel="0" collapsed="false">
      <c r="A152" s="11"/>
      <c r="B152" s="6"/>
      <c r="C152" s="12" t="str">
        <f aca="false">IF(B152="","",IFERROR(INDEX('Black Registry'!$B$4:$B$103,MATCH(B152,'Black Registry'!$A$4:$A$103,0)),"Not found"))</f>
        <v/>
      </c>
      <c r="D152" s="6"/>
      <c r="E152" s="13" t="str">
        <f aca="false">IF(D152="","",IFERROR(INDEX('Reference Tables'!$B$3:$B$8,MATCH(D152,'Reference Tables'!$A$3:$A$8,0)),"Invalid package"))</f>
        <v/>
      </c>
      <c r="F152" s="12" t="str">
        <f aca="false">IF(D152="","",IFERROR(INDEX('Reference Tables'!$C$3:$C$8,MATCH(D152,'Reference Tables'!$A$3:$A$8,0)),"Invalid package"))</f>
        <v/>
      </c>
      <c r="G152" s="14" t="str">
        <f aca="false">IF(E152="","",'Reference Tables'!$C$16)</f>
        <v/>
      </c>
      <c r="H152" s="12" t="str">
        <f aca="false">IF(E152="","",IF(E152&gt;=150,"Yes","No"))</f>
        <v/>
      </c>
      <c r="I152" s="13" t="str">
        <f aca="false">IF(E152="","",IF(H152="Yes",E152*G152,0))</f>
        <v/>
      </c>
      <c r="J152" s="13" t="str">
        <f aca="false">IF(E152="","",E152-I152)</f>
        <v/>
      </c>
      <c r="K152" s="6"/>
      <c r="L152" s="6"/>
    </row>
    <row r="153" customFormat="false" ht="15" hidden="false" customHeight="false" outlineLevel="0" collapsed="false">
      <c r="A153" s="11"/>
      <c r="B153" s="6"/>
      <c r="C153" s="12" t="str">
        <f aca="false">IF(B153="","",IFERROR(INDEX('Black Registry'!$B$4:$B$103,MATCH(B153,'Black Registry'!$A$4:$A$103,0)),"Not found"))</f>
        <v/>
      </c>
      <c r="D153" s="6"/>
      <c r="E153" s="13" t="str">
        <f aca="false">IF(D153="","",IFERROR(INDEX('Reference Tables'!$B$3:$B$8,MATCH(D153,'Reference Tables'!$A$3:$A$8,0)),"Invalid package"))</f>
        <v/>
      </c>
      <c r="F153" s="12" t="str">
        <f aca="false">IF(D153="","",IFERROR(INDEX('Reference Tables'!$C$3:$C$8,MATCH(D153,'Reference Tables'!$A$3:$A$8,0)),"Invalid package"))</f>
        <v/>
      </c>
      <c r="G153" s="14" t="str">
        <f aca="false">IF(E153="","",'Reference Tables'!$C$16)</f>
        <v/>
      </c>
      <c r="H153" s="12" t="str">
        <f aca="false">IF(E153="","",IF(E153&gt;=150,"Yes","No"))</f>
        <v/>
      </c>
      <c r="I153" s="13" t="str">
        <f aca="false">IF(E153="","",IF(H153="Yes",E153*G153,0))</f>
        <v/>
      </c>
      <c r="J153" s="13" t="str">
        <f aca="false">IF(E153="","",E153-I153)</f>
        <v/>
      </c>
      <c r="K153" s="6"/>
      <c r="L153" s="6"/>
    </row>
    <row r="154" customFormat="false" ht="15" hidden="false" customHeight="false" outlineLevel="0" collapsed="false">
      <c r="A154" s="11"/>
      <c r="B154" s="6"/>
      <c r="C154" s="12" t="str">
        <f aca="false">IF(B154="","",IFERROR(INDEX('Black Registry'!$B$4:$B$103,MATCH(B154,'Black Registry'!$A$4:$A$103,0)),"Not found"))</f>
        <v/>
      </c>
      <c r="D154" s="6"/>
      <c r="E154" s="13" t="str">
        <f aca="false">IF(D154="","",IFERROR(INDEX('Reference Tables'!$B$3:$B$8,MATCH(D154,'Reference Tables'!$A$3:$A$8,0)),"Invalid package"))</f>
        <v/>
      </c>
      <c r="F154" s="12" t="str">
        <f aca="false">IF(D154="","",IFERROR(INDEX('Reference Tables'!$C$3:$C$8,MATCH(D154,'Reference Tables'!$A$3:$A$8,0)),"Invalid package"))</f>
        <v/>
      </c>
      <c r="G154" s="14" t="str">
        <f aca="false">IF(E154="","",'Reference Tables'!$C$16)</f>
        <v/>
      </c>
      <c r="H154" s="12" t="str">
        <f aca="false">IF(E154="","",IF(E154&gt;=150,"Yes","No"))</f>
        <v/>
      </c>
      <c r="I154" s="13" t="str">
        <f aca="false">IF(E154="","",IF(H154="Yes",E154*G154,0))</f>
        <v/>
      </c>
      <c r="J154" s="13" t="str">
        <f aca="false">IF(E154="","",E154-I154)</f>
        <v/>
      </c>
      <c r="K154" s="6"/>
      <c r="L154" s="6"/>
    </row>
    <row r="155" customFormat="false" ht="15" hidden="false" customHeight="false" outlineLevel="0" collapsed="false">
      <c r="A155" s="11"/>
      <c r="B155" s="6"/>
      <c r="C155" s="12" t="str">
        <f aca="false">IF(B155="","",IFERROR(INDEX('Black Registry'!$B$4:$B$103,MATCH(B155,'Black Registry'!$A$4:$A$103,0)),"Not found"))</f>
        <v/>
      </c>
      <c r="D155" s="6"/>
      <c r="E155" s="13" t="str">
        <f aca="false">IF(D155="","",IFERROR(INDEX('Reference Tables'!$B$3:$B$8,MATCH(D155,'Reference Tables'!$A$3:$A$8,0)),"Invalid package"))</f>
        <v/>
      </c>
      <c r="F155" s="12" t="str">
        <f aca="false">IF(D155="","",IFERROR(INDEX('Reference Tables'!$C$3:$C$8,MATCH(D155,'Reference Tables'!$A$3:$A$8,0)),"Invalid package"))</f>
        <v/>
      </c>
      <c r="G155" s="14" t="str">
        <f aca="false">IF(E155="","",'Reference Tables'!$C$16)</f>
        <v/>
      </c>
      <c r="H155" s="12" t="str">
        <f aca="false">IF(E155="","",IF(E155&gt;=150,"Yes","No"))</f>
        <v/>
      </c>
      <c r="I155" s="13" t="str">
        <f aca="false">IF(E155="","",IF(H155="Yes",E155*G155,0))</f>
        <v/>
      </c>
      <c r="J155" s="13" t="str">
        <f aca="false">IF(E155="","",E155-I155)</f>
        <v/>
      </c>
      <c r="K155" s="6"/>
      <c r="L155" s="6"/>
    </row>
    <row r="156" customFormat="false" ht="15" hidden="false" customHeight="false" outlineLevel="0" collapsed="false">
      <c r="A156" s="11"/>
      <c r="B156" s="6"/>
      <c r="C156" s="12" t="str">
        <f aca="false">IF(B156="","",IFERROR(INDEX('Black Registry'!$B$4:$B$103,MATCH(B156,'Black Registry'!$A$4:$A$103,0)),"Not found"))</f>
        <v/>
      </c>
      <c r="D156" s="6"/>
      <c r="E156" s="13" t="str">
        <f aca="false">IF(D156="","",IFERROR(INDEX('Reference Tables'!$B$3:$B$8,MATCH(D156,'Reference Tables'!$A$3:$A$8,0)),"Invalid package"))</f>
        <v/>
      </c>
      <c r="F156" s="12" t="str">
        <f aca="false">IF(D156="","",IFERROR(INDEX('Reference Tables'!$C$3:$C$8,MATCH(D156,'Reference Tables'!$A$3:$A$8,0)),"Invalid package"))</f>
        <v/>
      </c>
      <c r="G156" s="14" t="str">
        <f aca="false">IF(E156="","",'Reference Tables'!$C$16)</f>
        <v/>
      </c>
      <c r="H156" s="12" t="str">
        <f aca="false">IF(E156="","",IF(E156&gt;=150,"Yes","No"))</f>
        <v/>
      </c>
      <c r="I156" s="13" t="str">
        <f aca="false">IF(E156="","",IF(H156="Yes",E156*G156,0))</f>
        <v/>
      </c>
      <c r="J156" s="13" t="str">
        <f aca="false">IF(E156="","",E156-I156)</f>
        <v/>
      </c>
      <c r="K156" s="6"/>
      <c r="L156" s="6"/>
    </row>
    <row r="157" customFormat="false" ht="15" hidden="false" customHeight="false" outlineLevel="0" collapsed="false">
      <c r="A157" s="11"/>
      <c r="B157" s="6"/>
      <c r="C157" s="12" t="str">
        <f aca="false">IF(B157="","",IFERROR(INDEX('Black Registry'!$B$4:$B$103,MATCH(B157,'Black Registry'!$A$4:$A$103,0)),"Not found"))</f>
        <v/>
      </c>
      <c r="D157" s="6"/>
      <c r="E157" s="13" t="str">
        <f aca="false">IF(D157="","",IFERROR(INDEX('Reference Tables'!$B$3:$B$8,MATCH(D157,'Reference Tables'!$A$3:$A$8,0)),"Invalid package"))</f>
        <v/>
      </c>
      <c r="F157" s="12" t="str">
        <f aca="false">IF(D157="","",IFERROR(INDEX('Reference Tables'!$C$3:$C$8,MATCH(D157,'Reference Tables'!$A$3:$A$8,0)),"Invalid package"))</f>
        <v/>
      </c>
      <c r="G157" s="14" t="str">
        <f aca="false">IF(E157="","",'Reference Tables'!$C$16)</f>
        <v/>
      </c>
      <c r="H157" s="12" t="str">
        <f aca="false">IF(E157="","",IF(E157&gt;=150,"Yes","No"))</f>
        <v/>
      </c>
      <c r="I157" s="13" t="str">
        <f aca="false">IF(E157="","",IF(H157="Yes",E157*G157,0))</f>
        <v/>
      </c>
      <c r="J157" s="13" t="str">
        <f aca="false">IF(E157="","",E157-I157)</f>
        <v/>
      </c>
      <c r="K157" s="6"/>
      <c r="L157" s="6"/>
    </row>
    <row r="158" customFormat="false" ht="15" hidden="false" customHeight="false" outlineLevel="0" collapsed="false">
      <c r="A158" s="11"/>
      <c r="B158" s="6"/>
      <c r="C158" s="12" t="str">
        <f aca="false">IF(B158="","",IFERROR(INDEX('Black Registry'!$B$4:$B$103,MATCH(B158,'Black Registry'!$A$4:$A$103,0)),"Not found"))</f>
        <v/>
      </c>
      <c r="D158" s="6"/>
      <c r="E158" s="13" t="str">
        <f aca="false">IF(D158="","",IFERROR(INDEX('Reference Tables'!$B$3:$B$8,MATCH(D158,'Reference Tables'!$A$3:$A$8,0)),"Invalid package"))</f>
        <v/>
      </c>
      <c r="F158" s="12" t="str">
        <f aca="false">IF(D158="","",IFERROR(INDEX('Reference Tables'!$C$3:$C$8,MATCH(D158,'Reference Tables'!$A$3:$A$8,0)),"Invalid package"))</f>
        <v/>
      </c>
      <c r="G158" s="14" t="str">
        <f aca="false">IF(E158="","",'Reference Tables'!$C$16)</f>
        <v/>
      </c>
      <c r="H158" s="12" t="str">
        <f aca="false">IF(E158="","",IF(E158&gt;=150,"Yes","No"))</f>
        <v/>
      </c>
      <c r="I158" s="13" t="str">
        <f aca="false">IF(E158="","",IF(H158="Yes",E158*G158,0))</f>
        <v/>
      </c>
      <c r="J158" s="13" t="str">
        <f aca="false">IF(E158="","",E158-I158)</f>
        <v/>
      </c>
      <c r="K158" s="6"/>
      <c r="L158" s="6"/>
    </row>
    <row r="159" customFormat="false" ht="15" hidden="false" customHeight="false" outlineLevel="0" collapsed="false">
      <c r="A159" s="11"/>
      <c r="B159" s="6"/>
      <c r="C159" s="12" t="str">
        <f aca="false">IF(B159="","",IFERROR(INDEX('Black Registry'!$B$4:$B$103,MATCH(B159,'Black Registry'!$A$4:$A$103,0)),"Not found"))</f>
        <v/>
      </c>
      <c r="D159" s="6"/>
      <c r="E159" s="13" t="str">
        <f aca="false">IF(D159="","",IFERROR(INDEX('Reference Tables'!$B$3:$B$8,MATCH(D159,'Reference Tables'!$A$3:$A$8,0)),"Invalid package"))</f>
        <v/>
      </c>
      <c r="F159" s="12" t="str">
        <f aca="false">IF(D159="","",IFERROR(INDEX('Reference Tables'!$C$3:$C$8,MATCH(D159,'Reference Tables'!$A$3:$A$8,0)),"Invalid package"))</f>
        <v/>
      </c>
      <c r="G159" s="14" t="str">
        <f aca="false">IF(E159="","",'Reference Tables'!$C$16)</f>
        <v/>
      </c>
      <c r="H159" s="12" t="str">
        <f aca="false">IF(E159="","",IF(E159&gt;=150,"Yes","No"))</f>
        <v/>
      </c>
      <c r="I159" s="13" t="str">
        <f aca="false">IF(E159="","",IF(H159="Yes",E159*G159,0))</f>
        <v/>
      </c>
      <c r="J159" s="13" t="str">
        <f aca="false">IF(E159="","",E159-I159)</f>
        <v/>
      </c>
      <c r="K159" s="6"/>
      <c r="L159" s="6"/>
    </row>
    <row r="160" customFormat="false" ht="15" hidden="false" customHeight="false" outlineLevel="0" collapsed="false">
      <c r="A160" s="11"/>
      <c r="B160" s="6"/>
      <c r="C160" s="12" t="str">
        <f aca="false">IF(B160="","",IFERROR(INDEX('Black Registry'!$B$4:$B$103,MATCH(B160,'Black Registry'!$A$4:$A$103,0)),"Not found"))</f>
        <v/>
      </c>
      <c r="D160" s="6"/>
      <c r="E160" s="13" t="str">
        <f aca="false">IF(D160="","",IFERROR(INDEX('Reference Tables'!$B$3:$B$8,MATCH(D160,'Reference Tables'!$A$3:$A$8,0)),"Invalid package"))</f>
        <v/>
      </c>
      <c r="F160" s="12" t="str">
        <f aca="false">IF(D160="","",IFERROR(INDEX('Reference Tables'!$C$3:$C$8,MATCH(D160,'Reference Tables'!$A$3:$A$8,0)),"Invalid package"))</f>
        <v/>
      </c>
      <c r="G160" s="14" t="str">
        <f aca="false">IF(E160="","",'Reference Tables'!$C$16)</f>
        <v/>
      </c>
      <c r="H160" s="12" t="str">
        <f aca="false">IF(E160="","",IF(E160&gt;=150,"Yes","No"))</f>
        <v/>
      </c>
      <c r="I160" s="13" t="str">
        <f aca="false">IF(E160="","",IF(H160="Yes",E160*G160,0))</f>
        <v/>
      </c>
      <c r="J160" s="13" t="str">
        <f aca="false">IF(E160="","",E160-I160)</f>
        <v/>
      </c>
      <c r="K160" s="6"/>
      <c r="L160" s="6"/>
    </row>
    <row r="161" customFormat="false" ht="15" hidden="false" customHeight="false" outlineLevel="0" collapsed="false">
      <c r="A161" s="11"/>
      <c r="B161" s="6"/>
      <c r="C161" s="12" t="str">
        <f aca="false">IF(B161="","",IFERROR(INDEX('Black Registry'!$B$4:$B$103,MATCH(B161,'Black Registry'!$A$4:$A$103,0)),"Not found"))</f>
        <v/>
      </c>
      <c r="D161" s="6"/>
      <c r="E161" s="13" t="str">
        <f aca="false">IF(D161="","",IFERROR(INDEX('Reference Tables'!$B$3:$B$8,MATCH(D161,'Reference Tables'!$A$3:$A$8,0)),"Invalid package"))</f>
        <v/>
      </c>
      <c r="F161" s="12" t="str">
        <f aca="false">IF(D161="","",IFERROR(INDEX('Reference Tables'!$C$3:$C$8,MATCH(D161,'Reference Tables'!$A$3:$A$8,0)),"Invalid package"))</f>
        <v/>
      </c>
      <c r="G161" s="14" t="str">
        <f aca="false">IF(E161="","",'Reference Tables'!$C$16)</f>
        <v/>
      </c>
      <c r="H161" s="12" t="str">
        <f aca="false">IF(E161="","",IF(E161&gt;=150,"Yes","No"))</f>
        <v/>
      </c>
      <c r="I161" s="13" t="str">
        <f aca="false">IF(E161="","",IF(H161="Yes",E161*G161,0))</f>
        <v/>
      </c>
      <c r="J161" s="13" t="str">
        <f aca="false">IF(E161="","",E161-I161)</f>
        <v/>
      </c>
      <c r="K161" s="6"/>
      <c r="L161" s="6"/>
    </row>
    <row r="162" customFormat="false" ht="15" hidden="false" customHeight="false" outlineLevel="0" collapsed="false">
      <c r="A162" s="11"/>
      <c r="B162" s="6"/>
      <c r="C162" s="12" t="str">
        <f aca="false">IF(B162="","",IFERROR(INDEX('Black Registry'!$B$4:$B$103,MATCH(B162,'Black Registry'!$A$4:$A$103,0)),"Not found"))</f>
        <v/>
      </c>
      <c r="D162" s="6"/>
      <c r="E162" s="13" t="str">
        <f aca="false">IF(D162="","",IFERROR(INDEX('Reference Tables'!$B$3:$B$8,MATCH(D162,'Reference Tables'!$A$3:$A$8,0)),"Invalid package"))</f>
        <v/>
      </c>
      <c r="F162" s="12" t="str">
        <f aca="false">IF(D162="","",IFERROR(INDEX('Reference Tables'!$C$3:$C$8,MATCH(D162,'Reference Tables'!$A$3:$A$8,0)),"Invalid package"))</f>
        <v/>
      </c>
      <c r="G162" s="14" t="str">
        <f aca="false">IF(E162="","",'Reference Tables'!$C$16)</f>
        <v/>
      </c>
      <c r="H162" s="12" t="str">
        <f aca="false">IF(E162="","",IF(E162&gt;=150,"Yes","No"))</f>
        <v/>
      </c>
      <c r="I162" s="13" t="str">
        <f aca="false">IF(E162="","",IF(H162="Yes",E162*G162,0))</f>
        <v/>
      </c>
      <c r="J162" s="13" t="str">
        <f aca="false">IF(E162="","",E162-I162)</f>
        <v/>
      </c>
      <c r="K162" s="6"/>
      <c r="L162" s="6"/>
    </row>
    <row r="163" customFormat="false" ht="15" hidden="false" customHeight="false" outlineLevel="0" collapsed="false">
      <c r="A163" s="11"/>
      <c r="B163" s="6"/>
      <c r="C163" s="12" t="str">
        <f aca="false">IF(B163="","",IFERROR(INDEX('Black Registry'!$B$4:$B$103,MATCH(B163,'Black Registry'!$A$4:$A$103,0)),"Not found"))</f>
        <v/>
      </c>
      <c r="D163" s="6"/>
      <c r="E163" s="13" t="str">
        <f aca="false">IF(D163="","",IFERROR(INDEX('Reference Tables'!$B$3:$B$8,MATCH(D163,'Reference Tables'!$A$3:$A$8,0)),"Invalid package"))</f>
        <v/>
      </c>
      <c r="F163" s="12" t="str">
        <f aca="false">IF(D163="","",IFERROR(INDEX('Reference Tables'!$C$3:$C$8,MATCH(D163,'Reference Tables'!$A$3:$A$8,0)),"Invalid package"))</f>
        <v/>
      </c>
      <c r="G163" s="14" t="str">
        <f aca="false">IF(E163="","",'Reference Tables'!$C$16)</f>
        <v/>
      </c>
      <c r="H163" s="12" t="str">
        <f aca="false">IF(E163="","",IF(E163&gt;=150,"Yes","No"))</f>
        <v/>
      </c>
      <c r="I163" s="13" t="str">
        <f aca="false">IF(E163="","",IF(H163="Yes",E163*G163,0))</f>
        <v/>
      </c>
      <c r="J163" s="13" t="str">
        <f aca="false">IF(E163="","",E163-I163)</f>
        <v/>
      </c>
      <c r="K163" s="6"/>
      <c r="L163" s="6"/>
    </row>
    <row r="164" customFormat="false" ht="15" hidden="false" customHeight="false" outlineLevel="0" collapsed="false">
      <c r="A164" s="11"/>
      <c r="B164" s="6"/>
      <c r="C164" s="12" t="str">
        <f aca="false">IF(B164="","",IFERROR(INDEX('Black Registry'!$B$4:$B$103,MATCH(B164,'Black Registry'!$A$4:$A$103,0)),"Not found"))</f>
        <v/>
      </c>
      <c r="D164" s="6"/>
      <c r="E164" s="13" t="str">
        <f aca="false">IF(D164="","",IFERROR(INDEX('Reference Tables'!$B$3:$B$8,MATCH(D164,'Reference Tables'!$A$3:$A$8,0)),"Invalid package"))</f>
        <v/>
      </c>
      <c r="F164" s="12" t="str">
        <f aca="false">IF(D164="","",IFERROR(INDEX('Reference Tables'!$C$3:$C$8,MATCH(D164,'Reference Tables'!$A$3:$A$8,0)),"Invalid package"))</f>
        <v/>
      </c>
      <c r="G164" s="14" t="str">
        <f aca="false">IF(E164="","",'Reference Tables'!$C$16)</f>
        <v/>
      </c>
      <c r="H164" s="12" t="str">
        <f aca="false">IF(E164="","",IF(E164&gt;=150,"Yes","No"))</f>
        <v/>
      </c>
      <c r="I164" s="13" t="str">
        <f aca="false">IF(E164="","",IF(H164="Yes",E164*G164,0))</f>
        <v/>
      </c>
      <c r="J164" s="13" t="str">
        <f aca="false">IF(E164="","",E164-I164)</f>
        <v/>
      </c>
      <c r="K164" s="6"/>
      <c r="L164" s="6"/>
    </row>
    <row r="165" customFormat="false" ht="15" hidden="false" customHeight="false" outlineLevel="0" collapsed="false">
      <c r="A165" s="11"/>
      <c r="B165" s="6"/>
      <c r="C165" s="12" t="str">
        <f aca="false">IF(B165="","",IFERROR(INDEX('Black Registry'!$B$4:$B$103,MATCH(B165,'Black Registry'!$A$4:$A$103,0)),"Not found"))</f>
        <v/>
      </c>
      <c r="D165" s="6"/>
      <c r="E165" s="13" t="str">
        <f aca="false">IF(D165="","",IFERROR(INDEX('Reference Tables'!$B$3:$B$8,MATCH(D165,'Reference Tables'!$A$3:$A$8,0)),"Invalid package"))</f>
        <v/>
      </c>
      <c r="F165" s="12" t="str">
        <f aca="false">IF(D165="","",IFERROR(INDEX('Reference Tables'!$C$3:$C$8,MATCH(D165,'Reference Tables'!$A$3:$A$8,0)),"Invalid package"))</f>
        <v/>
      </c>
      <c r="G165" s="14" t="str">
        <f aca="false">IF(E165="","",'Reference Tables'!$C$16)</f>
        <v/>
      </c>
      <c r="H165" s="12" t="str">
        <f aca="false">IF(E165="","",IF(E165&gt;=150,"Yes","No"))</f>
        <v/>
      </c>
      <c r="I165" s="13" t="str">
        <f aca="false">IF(E165="","",IF(H165="Yes",E165*G165,0))</f>
        <v/>
      </c>
      <c r="J165" s="13" t="str">
        <f aca="false">IF(E165="","",E165-I165)</f>
        <v/>
      </c>
      <c r="K165" s="6"/>
      <c r="L165" s="6"/>
    </row>
    <row r="166" customFormat="false" ht="15" hidden="false" customHeight="false" outlineLevel="0" collapsed="false">
      <c r="A166" s="11"/>
      <c r="B166" s="6"/>
      <c r="C166" s="12" t="str">
        <f aca="false">IF(B166="","",IFERROR(INDEX('Black Registry'!$B$4:$B$103,MATCH(B166,'Black Registry'!$A$4:$A$103,0)),"Not found"))</f>
        <v/>
      </c>
      <c r="D166" s="6"/>
      <c r="E166" s="13" t="str">
        <f aca="false">IF(D166="","",IFERROR(INDEX('Reference Tables'!$B$3:$B$8,MATCH(D166,'Reference Tables'!$A$3:$A$8,0)),"Invalid package"))</f>
        <v/>
      </c>
      <c r="F166" s="12" t="str">
        <f aca="false">IF(D166="","",IFERROR(INDEX('Reference Tables'!$C$3:$C$8,MATCH(D166,'Reference Tables'!$A$3:$A$8,0)),"Invalid package"))</f>
        <v/>
      </c>
      <c r="G166" s="14" t="str">
        <f aca="false">IF(E166="","",'Reference Tables'!$C$16)</f>
        <v/>
      </c>
      <c r="H166" s="12" t="str">
        <f aca="false">IF(E166="","",IF(E166&gt;=150,"Yes","No"))</f>
        <v/>
      </c>
      <c r="I166" s="13" t="str">
        <f aca="false">IF(E166="","",IF(H166="Yes",E166*G166,0))</f>
        <v/>
      </c>
      <c r="J166" s="13" t="str">
        <f aca="false">IF(E166="","",E166-I166)</f>
        <v/>
      </c>
      <c r="K166" s="6"/>
      <c r="L166" s="6"/>
    </row>
    <row r="167" customFormat="false" ht="15" hidden="false" customHeight="false" outlineLevel="0" collapsed="false">
      <c r="A167" s="11"/>
      <c r="B167" s="6"/>
      <c r="C167" s="12" t="str">
        <f aca="false">IF(B167="","",IFERROR(INDEX('Black Registry'!$B$4:$B$103,MATCH(B167,'Black Registry'!$A$4:$A$103,0)),"Not found"))</f>
        <v/>
      </c>
      <c r="D167" s="6"/>
      <c r="E167" s="13" t="str">
        <f aca="false">IF(D167="","",IFERROR(INDEX('Reference Tables'!$B$3:$B$8,MATCH(D167,'Reference Tables'!$A$3:$A$8,0)),"Invalid package"))</f>
        <v/>
      </c>
      <c r="F167" s="12" t="str">
        <f aca="false">IF(D167="","",IFERROR(INDEX('Reference Tables'!$C$3:$C$8,MATCH(D167,'Reference Tables'!$A$3:$A$8,0)),"Invalid package"))</f>
        <v/>
      </c>
      <c r="G167" s="14" t="str">
        <f aca="false">IF(E167="","",'Reference Tables'!$C$16)</f>
        <v/>
      </c>
      <c r="H167" s="12" t="str">
        <f aca="false">IF(E167="","",IF(E167&gt;=150,"Yes","No"))</f>
        <v/>
      </c>
      <c r="I167" s="13" t="str">
        <f aca="false">IF(E167="","",IF(H167="Yes",E167*G167,0))</f>
        <v/>
      </c>
      <c r="J167" s="13" t="str">
        <f aca="false">IF(E167="","",E167-I167)</f>
        <v/>
      </c>
      <c r="K167" s="6"/>
      <c r="L167" s="6"/>
    </row>
    <row r="168" customFormat="false" ht="15" hidden="false" customHeight="false" outlineLevel="0" collapsed="false">
      <c r="A168" s="11"/>
      <c r="B168" s="6"/>
      <c r="C168" s="12" t="str">
        <f aca="false">IF(B168="","",IFERROR(INDEX('Black Registry'!$B$4:$B$103,MATCH(B168,'Black Registry'!$A$4:$A$103,0)),"Not found"))</f>
        <v/>
      </c>
      <c r="D168" s="6"/>
      <c r="E168" s="13" t="str">
        <f aca="false">IF(D168="","",IFERROR(INDEX('Reference Tables'!$B$3:$B$8,MATCH(D168,'Reference Tables'!$A$3:$A$8,0)),"Invalid package"))</f>
        <v/>
      </c>
      <c r="F168" s="12" t="str">
        <f aca="false">IF(D168="","",IFERROR(INDEX('Reference Tables'!$C$3:$C$8,MATCH(D168,'Reference Tables'!$A$3:$A$8,0)),"Invalid package"))</f>
        <v/>
      </c>
      <c r="G168" s="14" t="str">
        <f aca="false">IF(E168="","",'Reference Tables'!$C$16)</f>
        <v/>
      </c>
      <c r="H168" s="12" t="str">
        <f aca="false">IF(E168="","",IF(E168&gt;=150,"Yes","No"))</f>
        <v/>
      </c>
      <c r="I168" s="13" t="str">
        <f aca="false">IF(E168="","",IF(H168="Yes",E168*G168,0))</f>
        <v/>
      </c>
      <c r="J168" s="13" t="str">
        <f aca="false">IF(E168="","",E168-I168)</f>
        <v/>
      </c>
      <c r="K168" s="6"/>
      <c r="L168" s="6"/>
    </row>
    <row r="169" customFormat="false" ht="15" hidden="false" customHeight="false" outlineLevel="0" collapsed="false">
      <c r="A169" s="11"/>
      <c r="B169" s="6"/>
      <c r="C169" s="12" t="str">
        <f aca="false">IF(B169="","",IFERROR(INDEX('Black Registry'!$B$4:$B$103,MATCH(B169,'Black Registry'!$A$4:$A$103,0)),"Not found"))</f>
        <v/>
      </c>
      <c r="D169" s="6"/>
      <c r="E169" s="13" t="str">
        <f aca="false">IF(D169="","",IFERROR(INDEX('Reference Tables'!$B$3:$B$8,MATCH(D169,'Reference Tables'!$A$3:$A$8,0)),"Invalid package"))</f>
        <v/>
      </c>
      <c r="F169" s="12" t="str">
        <f aca="false">IF(D169="","",IFERROR(INDEX('Reference Tables'!$C$3:$C$8,MATCH(D169,'Reference Tables'!$A$3:$A$8,0)),"Invalid package"))</f>
        <v/>
      </c>
      <c r="G169" s="14" t="str">
        <f aca="false">IF(E169="","",'Reference Tables'!$C$16)</f>
        <v/>
      </c>
      <c r="H169" s="12" t="str">
        <f aca="false">IF(E169="","",IF(E169&gt;=150,"Yes","No"))</f>
        <v/>
      </c>
      <c r="I169" s="13" t="str">
        <f aca="false">IF(E169="","",IF(H169="Yes",E169*G169,0))</f>
        <v/>
      </c>
      <c r="J169" s="13" t="str">
        <f aca="false">IF(E169="","",E169-I169)</f>
        <v/>
      </c>
      <c r="K169" s="6"/>
      <c r="L169" s="6"/>
    </row>
    <row r="170" customFormat="false" ht="15" hidden="false" customHeight="false" outlineLevel="0" collapsed="false">
      <c r="A170" s="11"/>
      <c r="B170" s="6"/>
      <c r="C170" s="12" t="str">
        <f aca="false">IF(B170="","",IFERROR(INDEX('Black Registry'!$B$4:$B$103,MATCH(B170,'Black Registry'!$A$4:$A$103,0)),"Not found"))</f>
        <v/>
      </c>
      <c r="D170" s="6"/>
      <c r="E170" s="13" t="str">
        <f aca="false">IF(D170="","",IFERROR(INDEX('Reference Tables'!$B$3:$B$8,MATCH(D170,'Reference Tables'!$A$3:$A$8,0)),"Invalid package"))</f>
        <v/>
      </c>
      <c r="F170" s="12" t="str">
        <f aca="false">IF(D170="","",IFERROR(INDEX('Reference Tables'!$C$3:$C$8,MATCH(D170,'Reference Tables'!$A$3:$A$8,0)),"Invalid package"))</f>
        <v/>
      </c>
      <c r="G170" s="14" t="str">
        <f aca="false">IF(E170="","",'Reference Tables'!$C$16)</f>
        <v/>
      </c>
      <c r="H170" s="12" t="str">
        <f aca="false">IF(E170="","",IF(E170&gt;=150,"Yes","No"))</f>
        <v/>
      </c>
      <c r="I170" s="13" t="str">
        <f aca="false">IF(E170="","",IF(H170="Yes",E170*G170,0))</f>
        <v/>
      </c>
      <c r="J170" s="13" t="str">
        <f aca="false">IF(E170="","",E170-I170)</f>
        <v/>
      </c>
      <c r="K170" s="6"/>
      <c r="L170" s="6"/>
    </row>
    <row r="171" customFormat="false" ht="15" hidden="false" customHeight="false" outlineLevel="0" collapsed="false">
      <c r="A171" s="11"/>
      <c r="B171" s="6"/>
      <c r="C171" s="12" t="str">
        <f aca="false">IF(B171="","",IFERROR(INDEX('Black Registry'!$B$4:$B$103,MATCH(B171,'Black Registry'!$A$4:$A$103,0)),"Not found"))</f>
        <v/>
      </c>
      <c r="D171" s="6"/>
      <c r="E171" s="13" t="str">
        <f aca="false">IF(D171="","",IFERROR(INDEX('Reference Tables'!$B$3:$B$8,MATCH(D171,'Reference Tables'!$A$3:$A$8,0)),"Invalid package"))</f>
        <v/>
      </c>
      <c r="F171" s="12" t="str">
        <f aca="false">IF(D171="","",IFERROR(INDEX('Reference Tables'!$C$3:$C$8,MATCH(D171,'Reference Tables'!$A$3:$A$8,0)),"Invalid package"))</f>
        <v/>
      </c>
      <c r="G171" s="14" t="str">
        <f aca="false">IF(E171="","",'Reference Tables'!$C$16)</f>
        <v/>
      </c>
      <c r="H171" s="12" t="str">
        <f aca="false">IF(E171="","",IF(E171&gt;=150,"Yes","No"))</f>
        <v/>
      </c>
      <c r="I171" s="13" t="str">
        <f aca="false">IF(E171="","",IF(H171="Yes",E171*G171,0))</f>
        <v/>
      </c>
      <c r="J171" s="13" t="str">
        <f aca="false">IF(E171="","",E171-I171)</f>
        <v/>
      </c>
      <c r="K171" s="6"/>
      <c r="L171" s="6"/>
    </row>
    <row r="172" customFormat="false" ht="15" hidden="false" customHeight="false" outlineLevel="0" collapsed="false">
      <c r="A172" s="11"/>
      <c r="B172" s="6"/>
      <c r="C172" s="12" t="str">
        <f aca="false">IF(B172="","",IFERROR(INDEX('Black Registry'!$B$4:$B$103,MATCH(B172,'Black Registry'!$A$4:$A$103,0)),"Not found"))</f>
        <v/>
      </c>
      <c r="D172" s="6"/>
      <c r="E172" s="13" t="str">
        <f aca="false">IF(D172="","",IFERROR(INDEX('Reference Tables'!$B$3:$B$8,MATCH(D172,'Reference Tables'!$A$3:$A$8,0)),"Invalid package"))</f>
        <v/>
      </c>
      <c r="F172" s="12" t="str">
        <f aca="false">IF(D172="","",IFERROR(INDEX('Reference Tables'!$C$3:$C$8,MATCH(D172,'Reference Tables'!$A$3:$A$8,0)),"Invalid package"))</f>
        <v/>
      </c>
      <c r="G172" s="14" t="str">
        <f aca="false">IF(E172="","",'Reference Tables'!$C$16)</f>
        <v/>
      </c>
      <c r="H172" s="12" t="str">
        <f aca="false">IF(E172="","",IF(E172&gt;=150,"Yes","No"))</f>
        <v/>
      </c>
      <c r="I172" s="13" t="str">
        <f aca="false">IF(E172="","",IF(H172="Yes",E172*G172,0))</f>
        <v/>
      </c>
      <c r="J172" s="13" t="str">
        <f aca="false">IF(E172="","",E172-I172)</f>
        <v/>
      </c>
      <c r="K172" s="6"/>
      <c r="L172" s="6"/>
    </row>
    <row r="173" customFormat="false" ht="15" hidden="false" customHeight="false" outlineLevel="0" collapsed="false">
      <c r="A173" s="11"/>
      <c r="B173" s="6"/>
      <c r="C173" s="12" t="str">
        <f aca="false">IF(B173="","",IFERROR(INDEX('Black Registry'!$B$4:$B$103,MATCH(B173,'Black Registry'!$A$4:$A$103,0)),"Not found"))</f>
        <v/>
      </c>
      <c r="D173" s="6"/>
      <c r="E173" s="13" t="str">
        <f aca="false">IF(D173="","",IFERROR(INDEX('Reference Tables'!$B$3:$B$8,MATCH(D173,'Reference Tables'!$A$3:$A$8,0)),"Invalid package"))</f>
        <v/>
      </c>
      <c r="F173" s="12" t="str">
        <f aca="false">IF(D173="","",IFERROR(INDEX('Reference Tables'!$C$3:$C$8,MATCH(D173,'Reference Tables'!$A$3:$A$8,0)),"Invalid package"))</f>
        <v/>
      </c>
      <c r="G173" s="14" t="str">
        <f aca="false">IF(E173="","",'Reference Tables'!$C$16)</f>
        <v/>
      </c>
      <c r="H173" s="12" t="str">
        <f aca="false">IF(E173="","",IF(E173&gt;=150,"Yes","No"))</f>
        <v/>
      </c>
      <c r="I173" s="13" t="str">
        <f aca="false">IF(E173="","",IF(H173="Yes",E173*G173,0))</f>
        <v/>
      </c>
      <c r="J173" s="13" t="str">
        <f aca="false">IF(E173="","",E173-I173)</f>
        <v/>
      </c>
      <c r="K173" s="6"/>
      <c r="L173" s="6"/>
    </row>
    <row r="174" customFormat="false" ht="15" hidden="false" customHeight="false" outlineLevel="0" collapsed="false">
      <c r="A174" s="11"/>
      <c r="B174" s="6"/>
      <c r="C174" s="12" t="str">
        <f aca="false">IF(B174="","",IFERROR(INDEX('Black Registry'!$B$4:$B$103,MATCH(B174,'Black Registry'!$A$4:$A$103,0)),"Not found"))</f>
        <v/>
      </c>
      <c r="D174" s="6"/>
      <c r="E174" s="13" t="str">
        <f aca="false">IF(D174="","",IFERROR(INDEX('Reference Tables'!$B$3:$B$8,MATCH(D174,'Reference Tables'!$A$3:$A$8,0)),"Invalid package"))</f>
        <v/>
      </c>
      <c r="F174" s="12" t="str">
        <f aca="false">IF(D174="","",IFERROR(INDEX('Reference Tables'!$C$3:$C$8,MATCH(D174,'Reference Tables'!$A$3:$A$8,0)),"Invalid package"))</f>
        <v/>
      </c>
      <c r="G174" s="14" t="str">
        <f aca="false">IF(E174="","",'Reference Tables'!$C$16)</f>
        <v/>
      </c>
      <c r="H174" s="12" t="str">
        <f aca="false">IF(E174="","",IF(E174&gt;=150,"Yes","No"))</f>
        <v/>
      </c>
      <c r="I174" s="13" t="str">
        <f aca="false">IF(E174="","",IF(H174="Yes",E174*G174,0))</f>
        <v/>
      </c>
      <c r="J174" s="13" t="str">
        <f aca="false">IF(E174="","",E174-I174)</f>
        <v/>
      </c>
      <c r="K174" s="6"/>
      <c r="L174" s="6"/>
    </row>
    <row r="175" customFormat="false" ht="15" hidden="false" customHeight="false" outlineLevel="0" collapsed="false">
      <c r="A175" s="11"/>
      <c r="B175" s="6"/>
      <c r="C175" s="12" t="str">
        <f aca="false">IF(B175="","",IFERROR(INDEX('Black Registry'!$B$4:$B$103,MATCH(B175,'Black Registry'!$A$4:$A$103,0)),"Not found"))</f>
        <v/>
      </c>
      <c r="D175" s="6"/>
      <c r="E175" s="13" t="str">
        <f aca="false">IF(D175="","",IFERROR(INDEX('Reference Tables'!$B$3:$B$8,MATCH(D175,'Reference Tables'!$A$3:$A$8,0)),"Invalid package"))</f>
        <v/>
      </c>
      <c r="F175" s="12" t="str">
        <f aca="false">IF(D175="","",IFERROR(INDEX('Reference Tables'!$C$3:$C$8,MATCH(D175,'Reference Tables'!$A$3:$A$8,0)),"Invalid package"))</f>
        <v/>
      </c>
      <c r="G175" s="14" t="str">
        <f aca="false">IF(E175="","",'Reference Tables'!$C$16)</f>
        <v/>
      </c>
      <c r="H175" s="12" t="str">
        <f aca="false">IF(E175="","",IF(E175&gt;=150,"Yes","No"))</f>
        <v/>
      </c>
      <c r="I175" s="13" t="str">
        <f aca="false">IF(E175="","",IF(H175="Yes",E175*G175,0))</f>
        <v/>
      </c>
      <c r="J175" s="13" t="str">
        <f aca="false">IF(E175="","",E175-I175)</f>
        <v/>
      </c>
      <c r="K175" s="6"/>
      <c r="L175" s="6"/>
    </row>
    <row r="176" customFormat="false" ht="15" hidden="false" customHeight="false" outlineLevel="0" collapsed="false">
      <c r="A176" s="11"/>
      <c r="B176" s="6"/>
      <c r="C176" s="12" t="str">
        <f aca="false">IF(B176="","",IFERROR(INDEX('Black Registry'!$B$4:$B$103,MATCH(B176,'Black Registry'!$A$4:$A$103,0)),"Not found"))</f>
        <v/>
      </c>
      <c r="D176" s="6"/>
      <c r="E176" s="13" t="str">
        <f aca="false">IF(D176="","",IFERROR(INDEX('Reference Tables'!$B$3:$B$8,MATCH(D176,'Reference Tables'!$A$3:$A$8,0)),"Invalid package"))</f>
        <v/>
      </c>
      <c r="F176" s="12" t="str">
        <f aca="false">IF(D176="","",IFERROR(INDEX('Reference Tables'!$C$3:$C$8,MATCH(D176,'Reference Tables'!$A$3:$A$8,0)),"Invalid package"))</f>
        <v/>
      </c>
      <c r="G176" s="14" t="str">
        <f aca="false">IF(E176="","",'Reference Tables'!$C$16)</f>
        <v/>
      </c>
      <c r="H176" s="12" t="str">
        <f aca="false">IF(E176="","",IF(E176&gt;=150,"Yes","No"))</f>
        <v/>
      </c>
      <c r="I176" s="13" t="str">
        <f aca="false">IF(E176="","",IF(H176="Yes",E176*G176,0))</f>
        <v/>
      </c>
      <c r="J176" s="13" t="str">
        <f aca="false">IF(E176="","",E176-I176)</f>
        <v/>
      </c>
      <c r="K176" s="6"/>
      <c r="L176" s="6"/>
    </row>
    <row r="177" customFormat="false" ht="15" hidden="false" customHeight="false" outlineLevel="0" collapsed="false">
      <c r="A177" s="11"/>
      <c r="B177" s="6"/>
      <c r="C177" s="12" t="str">
        <f aca="false">IF(B177="","",IFERROR(INDEX('Black Registry'!$B$4:$B$103,MATCH(B177,'Black Registry'!$A$4:$A$103,0)),"Not found"))</f>
        <v/>
      </c>
      <c r="D177" s="6"/>
      <c r="E177" s="13" t="str">
        <f aca="false">IF(D177="","",IFERROR(INDEX('Reference Tables'!$B$3:$B$8,MATCH(D177,'Reference Tables'!$A$3:$A$8,0)),"Invalid package"))</f>
        <v/>
      </c>
      <c r="F177" s="12" t="str">
        <f aca="false">IF(D177="","",IFERROR(INDEX('Reference Tables'!$C$3:$C$8,MATCH(D177,'Reference Tables'!$A$3:$A$8,0)),"Invalid package"))</f>
        <v/>
      </c>
      <c r="G177" s="14" t="str">
        <f aca="false">IF(E177="","",'Reference Tables'!$C$16)</f>
        <v/>
      </c>
      <c r="H177" s="12" t="str">
        <f aca="false">IF(E177="","",IF(E177&gt;=150,"Yes","No"))</f>
        <v/>
      </c>
      <c r="I177" s="13" t="str">
        <f aca="false">IF(E177="","",IF(H177="Yes",E177*G177,0))</f>
        <v/>
      </c>
      <c r="J177" s="13" t="str">
        <f aca="false">IF(E177="","",E177-I177)</f>
        <v/>
      </c>
      <c r="K177" s="6"/>
      <c r="L177" s="6"/>
    </row>
    <row r="178" customFormat="false" ht="15" hidden="false" customHeight="false" outlineLevel="0" collapsed="false">
      <c r="A178" s="11"/>
      <c r="B178" s="6"/>
      <c r="C178" s="12" t="str">
        <f aca="false">IF(B178="","",IFERROR(INDEX('Black Registry'!$B$4:$B$103,MATCH(B178,'Black Registry'!$A$4:$A$103,0)),"Not found"))</f>
        <v/>
      </c>
      <c r="D178" s="6"/>
      <c r="E178" s="13" t="str">
        <f aca="false">IF(D178="","",IFERROR(INDEX('Reference Tables'!$B$3:$B$8,MATCH(D178,'Reference Tables'!$A$3:$A$8,0)),"Invalid package"))</f>
        <v/>
      </c>
      <c r="F178" s="12" t="str">
        <f aca="false">IF(D178="","",IFERROR(INDEX('Reference Tables'!$C$3:$C$8,MATCH(D178,'Reference Tables'!$A$3:$A$8,0)),"Invalid package"))</f>
        <v/>
      </c>
      <c r="G178" s="14" t="str">
        <f aca="false">IF(E178="","",'Reference Tables'!$C$16)</f>
        <v/>
      </c>
      <c r="H178" s="12" t="str">
        <f aca="false">IF(E178="","",IF(E178&gt;=150,"Yes","No"))</f>
        <v/>
      </c>
      <c r="I178" s="13" t="str">
        <f aca="false">IF(E178="","",IF(H178="Yes",E178*G178,0))</f>
        <v/>
      </c>
      <c r="J178" s="13" t="str">
        <f aca="false">IF(E178="","",E178-I178)</f>
        <v/>
      </c>
      <c r="K178" s="6"/>
      <c r="L178" s="6"/>
    </row>
    <row r="179" customFormat="false" ht="15" hidden="false" customHeight="false" outlineLevel="0" collapsed="false">
      <c r="A179" s="11"/>
      <c r="B179" s="6"/>
      <c r="C179" s="12" t="str">
        <f aca="false">IF(B179="","",IFERROR(INDEX('Black Registry'!$B$4:$B$103,MATCH(B179,'Black Registry'!$A$4:$A$103,0)),"Not found"))</f>
        <v/>
      </c>
      <c r="D179" s="6"/>
      <c r="E179" s="13" t="str">
        <f aca="false">IF(D179="","",IFERROR(INDEX('Reference Tables'!$B$3:$B$8,MATCH(D179,'Reference Tables'!$A$3:$A$8,0)),"Invalid package"))</f>
        <v/>
      </c>
      <c r="F179" s="12" t="str">
        <f aca="false">IF(D179="","",IFERROR(INDEX('Reference Tables'!$C$3:$C$8,MATCH(D179,'Reference Tables'!$A$3:$A$8,0)),"Invalid package"))</f>
        <v/>
      </c>
      <c r="G179" s="14" t="str">
        <f aca="false">IF(E179="","",'Reference Tables'!$C$16)</f>
        <v/>
      </c>
      <c r="H179" s="12" t="str">
        <f aca="false">IF(E179="","",IF(E179&gt;=150,"Yes","No"))</f>
        <v/>
      </c>
      <c r="I179" s="13" t="str">
        <f aca="false">IF(E179="","",IF(H179="Yes",E179*G179,0))</f>
        <v/>
      </c>
      <c r="J179" s="13" t="str">
        <f aca="false">IF(E179="","",E179-I179)</f>
        <v/>
      </c>
      <c r="K179" s="6"/>
      <c r="L179" s="6"/>
    </row>
    <row r="180" customFormat="false" ht="15" hidden="false" customHeight="false" outlineLevel="0" collapsed="false">
      <c r="A180" s="11"/>
      <c r="B180" s="6"/>
      <c r="C180" s="12" t="str">
        <f aca="false">IF(B180="","",IFERROR(INDEX('Black Registry'!$B$4:$B$103,MATCH(B180,'Black Registry'!$A$4:$A$103,0)),"Not found"))</f>
        <v/>
      </c>
      <c r="D180" s="6"/>
      <c r="E180" s="13" t="str">
        <f aca="false">IF(D180="","",IFERROR(INDEX('Reference Tables'!$B$3:$B$8,MATCH(D180,'Reference Tables'!$A$3:$A$8,0)),"Invalid package"))</f>
        <v/>
      </c>
      <c r="F180" s="12" t="str">
        <f aca="false">IF(D180="","",IFERROR(INDEX('Reference Tables'!$C$3:$C$8,MATCH(D180,'Reference Tables'!$A$3:$A$8,0)),"Invalid package"))</f>
        <v/>
      </c>
      <c r="G180" s="14" t="str">
        <f aca="false">IF(E180="","",'Reference Tables'!$C$16)</f>
        <v/>
      </c>
      <c r="H180" s="12" t="str">
        <f aca="false">IF(E180="","",IF(E180&gt;=150,"Yes","No"))</f>
        <v/>
      </c>
      <c r="I180" s="13" t="str">
        <f aca="false">IF(E180="","",IF(H180="Yes",E180*G180,0))</f>
        <v/>
      </c>
      <c r="J180" s="13" t="str">
        <f aca="false">IF(E180="","",E180-I180)</f>
        <v/>
      </c>
      <c r="K180" s="6"/>
      <c r="L180" s="6"/>
    </row>
    <row r="181" customFormat="false" ht="15" hidden="false" customHeight="false" outlineLevel="0" collapsed="false">
      <c r="A181" s="11"/>
      <c r="B181" s="6"/>
      <c r="C181" s="12" t="str">
        <f aca="false">IF(B181="","",IFERROR(INDEX('Black Registry'!$B$4:$B$103,MATCH(B181,'Black Registry'!$A$4:$A$103,0)),"Not found"))</f>
        <v/>
      </c>
      <c r="D181" s="6"/>
      <c r="E181" s="13" t="str">
        <f aca="false">IF(D181="","",IFERROR(INDEX('Reference Tables'!$B$3:$B$8,MATCH(D181,'Reference Tables'!$A$3:$A$8,0)),"Invalid package"))</f>
        <v/>
      </c>
      <c r="F181" s="12" t="str">
        <f aca="false">IF(D181="","",IFERROR(INDEX('Reference Tables'!$C$3:$C$8,MATCH(D181,'Reference Tables'!$A$3:$A$8,0)),"Invalid package"))</f>
        <v/>
      </c>
      <c r="G181" s="14" t="str">
        <f aca="false">IF(E181="","",'Reference Tables'!$C$16)</f>
        <v/>
      </c>
      <c r="H181" s="12" t="str">
        <f aca="false">IF(E181="","",IF(E181&gt;=150,"Yes","No"))</f>
        <v/>
      </c>
      <c r="I181" s="13" t="str">
        <f aca="false">IF(E181="","",IF(H181="Yes",E181*G181,0))</f>
        <v/>
      </c>
      <c r="J181" s="13" t="str">
        <f aca="false">IF(E181="","",E181-I181)</f>
        <v/>
      </c>
      <c r="K181" s="6"/>
      <c r="L181" s="6"/>
    </row>
    <row r="182" customFormat="false" ht="15" hidden="false" customHeight="false" outlineLevel="0" collapsed="false">
      <c r="A182" s="11"/>
      <c r="B182" s="6"/>
      <c r="C182" s="12" t="str">
        <f aca="false">IF(B182="","",IFERROR(INDEX('Black Registry'!$B$4:$B$103,MATCH(B182,'Black Registry'!$A$4:$A$103,0)),"Not found"))</f>
        <v/>
      </c>
      <c r="D182" s="6"/>
      <c r="E182" s="13" t="str">
        <f aca="false">IF(D182="","",IFERROR(INDEX('Reference Tables'!$B$3:$B$8,MATCH(D182,'Reference Tables'!$A$3:$A$8,0)),"Invalid package"))</f>
        <v/>
      </c>
      <c r="F182" s="12" t="str">
        <f aca="false">IF(D182="","",IFERROR(INDEX('Reference Tables'!$C$3:$C$8,MATCH(D182,'Reference Tables'!$A$3:$A$8,0)),"Invalid package"))</f>
        <v/>
      </c>
      <c r="G182" s="14" t="str">
        <f aca="false">IF(E182="","",'Reference Tables'!$C$16)</f>
        <v/>
      </c>
      <c r="H182" s="12" t="str">
        <f aca="false">IF(E182="","",IF(E182&gt;=150,"Yes","No"))</f>
        <v/>
      </c>
      <c r="I182" s="13" t="str">
        <f aca="false">IF(E182="","",IF(H182="Yes",E182*G182,0))</f>
        <v/>
      </c>
      <c r="J182" s="13" t="str">
        <f aca="false">IF(E182="","",E182-I182)</f>
        <v/>
      </c>
      <c r="K182" s="6"/>
      <c r="L182" s="6"/>
    </row>
    <row r="183" customFormat="false" ht="15" hidden="false" customHeight="false" outlineLevel="0" collapsed="false">
      <c r="A183" s="11"/>
      <c r="B183" s="6"/>
      <c r="C183" s="12" t="str">
        <f aca="false">IF(B183="","",IFERROR(INDEX('Black Registry'!$B$4:$B$103,MATCH(B183,'Black Registry'!$A$4:$A$103,0)),"Not found"))</f>
        <v/>
      </c>
      <c r="D183" s="6"/>
      <c r="E183" s="13" t="str">
        <f aca="false">IF(D183="","",IFERROR(INDEX('Reference Tables'!$B$3:$B$8,MATCH(D183,'Reference Tables'!$A$3:$A$8,0)),"Invalid package"))</f>
        <v/>
      </c>
      <c r="F183" s="12" t="str">
        <f aca="false">IF(D183="","",IFERROR(INDEX('Reference Tables'!$C$3:$C$8,MATCH(D183,'Reference Tables'!$A$3:$A$8,0)),"Invalid package"))</f>
        <v/>
      </c>
      <c r="G183" s="14" t="str">
        <f aca="false">IF(E183="","",'Reference Tables'!$C$16)</f>
        <v/>
      </c>
      <c r="H183" s="12" t="str">
        <f aca="false">IF(E183="","",IF(E183&gt;=150,"Yes","No"))</f>
        <v/>
      </c>
      <c r="I183" s="13" t="str">
        <f aca="false">IF(E183="","",IF(H183="Yes",E183*G183,0))</f>
        <v/>
      </c>
      <c r="J183" s="13" t="str">
        <f aca="false">IF(E183="","",E183-I183)</f>
        <v/>
      </c>
      <c r="K183" s="6"/>
      <c r="L183" s="6"/>
    </row>
    <row r="184" customFormat="false" ht="15" hidden="false" customHeight="false" outlineLevel="0" collapsed="false">
      <c r="A184" s="11"/>
      <c r="B184" s="6"/>
      <c r="C184" s="12" t="str">
        <f aca="false">IF(B184="","",IFERROR(INDEX('Black Registry'!$B$4:$B$103,MATCH(B184,'Black Registry'!$A$4:$A$103,0)),"Not found"))</f>
        <v/>
      </c>
      <c r="D184" s="6"/>
      <c r="E184" s="13" t="str">
        <f aca="false">IF(D184="","",IFERROR(INDEX('Reference Tables'!$B$3:$B$8,MATCH(D184,'Reference Tables'!$A$3:$A$8,0)),"Invalid package"))</f>
        <v/>
      </c>
      <c r="F184" s="12" t="str">
        <f aca="false">IF(D184="","",IFERROR(INDEX('Reference Tables'!$C$3:$C$8,MATCH(D184,'Reference Tables'!$A$3:$A$8,0)),"Invalid package"))</f>
        <v/>
      </c>
      <c r="G184" s="14" t="str">
        <f aca="false">IF(E184="","",'Reference Tables'!$C$16)</f>
        <v/>
      </c>
      <c r="H184" s="12" t="str">
        <f aca="false">IF(E184="","",IF(E184&gt;=150,"Yes","No"))</f>
        <v/>
      </c>
      <c r="I184" s="13" t="str">
        <f aca="false">IF(E184="","",IF(H184="Yes",E184*G184,0))</f>
        <v/>
      </c>
      <c r="J184" s="13" t="str">
        <f aca="false">IF(E184="","",E184-I184)</f>
        <v/>
      </c>
      <c r="K184" s="6"/>
      <c r="L184" s="6"/>
    </row>
    <row r="185" customFormat="false" ht="15" hidden="false" customHeight="false" outlineLevel="0" collapsed="false">
      <c r="A185" s="11"/>
      <c r="B185" s="6"/>
      <c r="C185" s="12" t="str">
        <f aca="false">IF(B185="","",IFERROR(INDEX('Black Registry'!$B$4:$B$103,MATCH(B185,'Black Registry'!$A$4:$A$103,0)),"Not found"))</f>
        <v/>
      </c>
      <c r="D185" s="6"/>
      <c r="E185" s="13" t="str">
        <f aca="false">IF(D185="","",IFERROR(INDEX('Reference Tables'!$B$3:$B$8,MATCH(D185,'Reference Tables'!$A$3:$A$8,0)),"Invalid package"))</f>
        <v/>
      </c>
      <c r="F185" s="12" t="str">
        <f aca="false">IF(D185="","",IFERROR(INDEX('Reference Tables'!$C$3:$C$8,MATCH(D185,'Reference Tables'!$A$3:$A$8,0)),"Invalid package"))</f>
        <v/>
      </c>
      <c r="G185" s="14" t="str">
        <f aca="false">IF(E185="","",'Reference Tables'!$C$16)</f>
        <v/>
      </c>
      <c r="H185" s="12" t="str">
        <f aca="false">IF(E185="","",IF(E185&gt;=150,"Yes","No"))</f>
        <v/>
      </c>
      <c r="I185" s="13" t="str">
        <f aca="false">IF(E185="","",IF(H185="Yes",E185*G185,0))</f>
        <v/>
      </c>
      <c r="J185" s="13" t="str">
        <f aca="false">IF(E185="","",E185-I185)</f>
        <v/>
      </c>
      <c r="K185" s="6"/>
      <c r="L185" s="6"/>
    </row>
    <row r="186" customFormat="false" ht="15" hidden="false" customHeight="false" outlineLevel="0" collapsed="false">
      <c r="A186" s="11"/>
      <c r="B186" s="6"/>
      <c r="C186" s="12" t="str">
        <f aca="false">IF(B186="","",IFERROR(INDEX('Black Registry'!$B$4:$B$103,MATCH(B186,'Black Registry'!$A$4:$A$103,0)),"Not found"))</f>
        <v/>
      </c>
      <c r="D186" s="6"/>
      <c r="E186" s="13" t="str">
        <f aca="false">IF(D186="","",IFERROR(INDEX('Reference Tables'!$B$3:$B$8,MATCH(D186,'Reference Tables'!$A$3:$A$8,0)),"Invalid package"))</f>
        <v/>
      </c>
      <c r="F186" s="12" t="str">
        <f aca="false">IF(D186="","",IFERROR(INDEX('Reference Tables'!$C$3:$C$8,MATCH(D186,'Reference Tables'!$A$3:$A$8,0)),"Invalid package"))</f>
        <v/>
      </c>
      <c r="G186" s="14" t="str">
        <f aca="false">IF(E186="","",'Reference Tables'!$C$16)</f>
        <v/>
      </c>
      <c r="H186" s="12" t="str">
        <f aca="false">IF(E186="","",IF(E186&gt;=150,"Yes","No"))</f>
        <v/>
      </c>
      <c r="I186" s="13" t="str">
        <f aca="false">IF(E186="","",IF(H186="Yes",E186*G186,0))</f>
        <v/>
      </c>
      <c r="J186" s="13" t="str">
        <f aca="false">IF(E186="","",E186-I186)</f>
        <v/>
      </c>
      <c r="K186" s="6"/>
      <c r="L186" s="6"/>
    </row>
    <row r="187" customFormat="false" ht="15" hidden="false" customHeight="false" outlineLevel="0" collapsed="false">
      <c r="A187" s="11"/>
      <c r="B187" s="6"/>
      <c r="C187" s="12" t="str">
        <f aca="false">IF(B187="","",IFERROR(INDEX('Black Registry'!$B$4:$B$103,MATCH(B187,'Black Registry'!$A$4:$A$103,0)),"Not found"))</f>
        <v/>
      </c>
      <c r="D187" s="6"/>
      <c r="E187" s="13" t="str">
        <f aca="false">IF(D187="","",IFERROR(INDEX('Reference Tables'!$B$3:$B$8,MATCH(D187,'Reference Tables'!$A$3:$A$8,0)),"Invalid package"))</f>
        <v/>
      </c>
      <c r="F187" s="12" t="str">
        <f aca="false">IF(D187="","",IFERROR(INDEX('Reference Tables'!$C$3:$C$8,MATCH(D187,'Reference Tables'!$A$3:$A$8,0)),"Invalid package"))</f>
        <v/>
      </c>
      <c r="G187" s="14" t="str">
        <f aca="false">IF(E187="","",'Reference Tables'!$C$16)</f>
        <v/>
      </c>
      <c r="H187" s="12" t="str">
        <f aca="false">IF(E187="","",IF(E187&gt;=150,"Yes","No"))</f>
        <v/>
      </c>
      <c r="I187" s="13" t="str">
        <f aca="false">IF(E187="","",IF(H187="Yes",E187*G187,0))</f>
        <v/>
      </c>
      <c r="J187" s="13" t="str">
        <f aca="false">IF(E187="","",E187-I187)</f>
        <v/>
      </c>
      <c r="K187" s="6"/>
      <c r="L187" s="6"/>
    </row>
    <row r="188" customFormat="false" ht="15" hidden="false" customHeight="false" outlineLevel="0" collapsed="false">
      <c r="A188" s="11"/>
      <c r="B188" s="6"/>
      <c r="C188" s="12" t="str">
        <f aca="false">IF(B188="","",IFERROR(INDEX('Black Registry'!$B$4:$B$103,MATCH(B188,'Black Registry'!$A$4:$A$103,0)),"Not found"))</f>
        <v/>
      </c>
      <c r="D188" s="6"/>
      <c r="E188" s="13" t="str">
        <f aca="false">IF(D188="","",IFERROR(INDEX('Reference Tables'!$B$3:$B$8,MATCH(D188,'Reference Tables'!$A$3:$A$8,0)),"Invalid package"))</f>
        <v/>
      </c>
      <c r="F188" s="12" t="str">
        <f aca="false">IF(D188="","",IFERROR(INDEX('Reference Tables'!$C$3:$C$8,MATCH(D188,'Reference Tables'!$A$3:$A$8,0)),"Invalid package"))</f>
        <v/>
      </c>
      <c r="G188" s="14" t="str">
        <f aca="false">IF(E188="","",'Reference Tables'!$C$16)</f>
        <v/>
      </c>
      <c r="H188" s="12" t="str">
        <f aca="false">IF(E188="","",IF(E188&gt;=150,"Yes","No"))</f>
        <v/>
      </c>
      <c r="I188" s="13" t="str">
        <f aca="false">IF(E188="","",IF(H188="Yes",E188*G188,0))</f>
        <v/>
      </c>
      <c r="J188" s="13" t="str">
        <f aca="false">IF(E188="","",E188-I188)</f>
        <v/>
      </c>
      <c r="K188" s="6"/>
      <c r="L188" s="6"/>
    </row>
    <row r="189" customFormat="false" ht="15" hidden="false" customHeight="false" outlineLevel="0" collapsed="false">
      <c r="A189" s="11"/>
      <c r="B189" s="6"/>
      <c r="C189" s="12" t="str">
        <f aca="false">IF(B189="","",IFERROR(INDEX('Black Registry'!$B$4:$B$103,MATCH(B189,'Black Registry'!$A$4:$A$103,0)),"Not found"))</f>
        <v/>
      </c>
      <c r="D189" s="6"/>
      <c r="E189" s="13" t="str">
        <f aca="false">IF(D189="","",IFERROR(INDEX('Reference Tables'!$B$3:$B$8,MATCH(D189,'Reference Tables'!$A$3:$A$8,0)),"Invalid package"))</f>
        <v/>
      </c>
      <c r="F189" s="12" t="str">
        <f aca="false">IF(D189="","",IFERROR(INDEX('Reference Tables'!$C$3:$C$8,MATCH(D189,'Reference Tables'!$A$3:$A$8,0)),"Invalid package"))</f>
        <v/>
      </c>
      <c r="G189" s="14" t="str">
        <f aca="false">IF(E189="","",'Reference Tables'!$C$16)</f>
        <v/>
      </c>
      <c r="H189" s="12" t="str">
        <f aca="false">IF(E189="","",IF(E189&gt;=150,"Yes","No"))</f>
        <v/>
      </c>
      <c r="I189" s="13" t="str">
        <f aca="false">IF(E189="","",IF(H189="Yes",E189*G189,0))</f>
        <v/>
      </c>
      <c r="J189" s="13" t="str">
        <f aca="false">IF(E189="","",E189-I189)</f>
        <v/>
      </c>
      <c r="K189" s="6"/>
      <c r="L189" s="6"/>
    </row>
    <row r="190" customFormat="false" ht="15" hidden="false" customHeight="false" outlineLevel="0" collapsed="false">
      <c r="A190" s="11"/>
      <c r="B190" s="6"/>
      <c r="C190" s="12" t="str">
        <f aca="false">IF(B190="","",IFERROR(INDEX('Black Registry'!$B$4:$B$103,MATCH(B190,'Black Registry'!$A$4:$A$103,0)),"Not found"))</f>
        <v/>
      </c>
      <c r="D190" s="6"/>
      <c r="E190" s="13" t="str">
        <f aca="false">IF(D190="","",IFERROR(INDEX('Reference Tables'!$B$3:$B$8,MATCH(D190,'Reference Tables'!$A$3:$A$8,0)),"Invalid package"))</f>
        <v/>
      </c>
      <c r="F190" s="12" t="str">
        <f aca="false">IF(D190="","",IFERROR(INDEX('Reference Tables'!$C$3:$C$8,MATCH(D190,'Reference Tables'!$A$3:$A$8,0)),"Invalid package"))</f>
        <v/>
      </c>
      <c r="G190" s="14" t="str">
        <f aca="false">IF(E190="","",'Reference Tables'!$C$16)</f>
        <v/>
      </c>
      <c r="H190" s="12" t="str">
        <f aca="false">IF(E190="","",IF(E190&gt;=150,"Yes","No"))</f>
        <v/>
      </c>
      <c r="I190" s="13" t="str">
        <f aca="false">IF(E190="","",IF(H190="Yes",E190*G190,0))</f>
        <v/>
      </c>
      <c r="J190" s="13" t="str">
        <f aca="false">IF(E190="","",E190-I190)</f>
        <v/>
      </c>
      <c r="K190" s="6"/>
      <c r="L190" s="6"/>
    </row>
    <row r="191" customFormat="false" ht="15" hidden="false" customHeight="false" outlineLevel="0" collapsed="false">
      <c r="A191" s="11"/>
      <c r="B191" s="6"/>
      <c r="C191" s="12" t="str">
        <f aca="false">IF(B191="","",IFERROR(INDEX('Black Registry'!$B$4:$B$103,MATCH(B191,'Black Registry'!$A$4:$A$103,0)),"Not found"))</f>
        <v/>
      </c>
      <c r="D191" s="6"/>
      <c r="E191" s="13" t="str">
        <f aca="false">IF(D191="","",IFERROR(INDEX('Reference Tables'!$B$3:$B$8,MATCH(D191,'Reference Tables'!$A$3:$A$8,0)),"Invalid package"))</f>
        <v/>
      </c>
      <c r="F191" s="12" t="str">
        <f aca="false">IF(D191="","",IFERROR(INDEX('Reference Tables'!$C$3:$C$8,MATCH(D191,'Reference Tables'!$A$3:$A$8,0)),"Invalid package"))</f>
        <v/>
      </c>
      <c r="G191" s="14" t="str">
        <f aca="false">IF(E191="","",'Reference Tables'!$C$16)</f>
        <v/>
      </c>
      <c r="H191" s="12" t="str">
        <f aca="false">IF(E191="","",IF(E191&gt;=150,"Yes","No"))</f>
        <v/>
      </c>
      <c r="I191" s="13" t="str">
        <f aca="false">IF(E191="","",IF(H191="Yes",E191*G191,0))</f>
        <v/>
      </c>
      <c r="J191" s="13" t="str">
        <f aca="false">IF(E191="","",E191-I191)</f>
        <v/>
      </c>
      <c r="K191" s="6"/>
      <c r="L191" s="6"/>
    </row>
    <row r="192" customFormat="false" ht="15" hidden="false" customHeight="false" outlineLevel="0" collapsed="false">
      <c r="A192" s="11"/>
      <c r="B192" s="6"/>
      <c r="C192" s="12" t="str">
        <f aca="false">IF(B192="","",IFERROR(INDEX('Black Registry'!$B$4:$B$103,MATCH(B192,'Black Registry'!$A$4:$A$103,0)),"Not found"))</f>
        <v/>
      </c>
      <c r="D192" s="6"/>
      <c r="E192" s="13" t="str">
        <f aca="false">IF(D192="","",IFERROR(INDEX('Reference Tables'!$B$3:$B$8,MATCH(D192,'Reference Tables'!$A$3:$A$8,0)),"Invalid package"))</f>
        <v/>
      </c>
      <c r="F192" s="12" t="str">
        <f aca="false">IF(D192="","",IFERROR(INDEX('Reference Tables'!$C$3:$C$8,MATCH(D192,'Reference Tables'!$A$3:$A$8,0)),"Invalid package"))</f>
        <v/>
      </c>
      <c r="G192" s="14" t="str">
        <f aca="false">IF(E192="","",'Reference Tables'!$C$16)</f>
        <v/>
      </c>
      <c r="H192" s="12" t="str">
        <f aca="false">IF(E192="","",IF(E192&gt;=150,"Yes","No"))</f>
        <v/>
      </c>
      <c r="I192" s="13" t="str">
        <f aca="false">IF(E192="","",IF(H192="Yes",E192*G192,0))</f>
        <v/>
      </c>
      <c r="J192" s="13" t="str">
        <f aca="false">IF(E192="","",E192-I192)</f>
        <v/>
      </c>
      <c r="K192" s="6"/>
      <c r="L192" s="6"/>
    </row>
    <row r="193" customFormat="false" ht="15" hidden="false" customHeight="false" outlineLevel="0" collapsed="false">
      <c r="A193" s="11"/>
      <c r="B193" s="6"/>
      <c r="C193" s="12" t="str">
        <f aca="false">IF(B193="","",IFERROR(INDEX('Black Registry'!$B$4:$B$103,MATCH(B193,'Black Registry'!$A$4:$A$103,0)),"Not found"))</f>
        <v/>
      </c>
      <c r="D193" s="6"/>
      <c r="E193" s="13" t="str">
        <f aca="false">IF(D193="","",IFERROR(INDEX('Reference Tables'!$B$3:$B$8,MATCH(D193,'Reference Tables'!$A$3:$A$8,0)),"Invalid package"))</f>
        <v/>
      </c>
      <c r="F193" s="12" t="str">
        <f aca="false">IF(D193="","",IFERROR(INDEX('Reference Tables'!$C$3:$C$8,MATCH(D193,'Reference Tables'!$A$3:$A$8,0)),"Invalid package"))</f>
        <v/>
      </c>
      <c r="G193" s="14" t="str">
        <f aca="false">IF(E193="","",'Reference Tables'!$C$16)</f>
        <v/>
      </c>
      <c r="H193" s="12" t="str">
        <f aca="false">IF(E193="","",IF(E193&gt;=150,"Yes","No"))</f>
        <v/>
      </c>
      <c r="I193" s="13" t="str">
        <f aca="false">IF(E193="","",IF(H193="Yes",E193*G193,0))</f>
        <v/>
      </c>
      <c r="J193" s="13" t="str">
        <f aca="false">IF(E193="","",E193-I193)</f>
        <v/>
      </c>
      <c r="K193" s="6"/>
      <c r="L193" s="6"/>
    </row>
    <row r="194" customFormat="false" ht="15" hidden="false" customHeight="false" outlineLevel="0" collapsed="false">
      <c r="A194" s="11"/>
      <c r="B194" s="6"/>
      <c r="C194" s="12" t="str">
        <f aca="false">IF(B194="","",IFERROR(INDEX('Black Registry'!$B$4:$B$103,MATCH(B194,'Black Registry'!$A$4:$A$103,0)),"Not found"))</f>
        <v/>
      </c>
      <c r="D194" s="6"/>
      <c r="E194" s="13" t="str">
        <f aca="false">IF(D194="","",IFERROR(INDEX('Reference Tables'!$B$3:$B$8,MATCH(D194,'Reference Tables'!$A$3:$A$8,0)),"Invalid package"))</f>
        <v/>
      </c>
      <c r="F194" s="12" t="str">
        <f aca="false">IF(D194="","",IFERROR(INDEX('Reference Tables'!$C$3:$C$8,MATCH(D194,'Reference Tables'!$A$3:$A$8,0)),"Invalid package"))</f>
        <v/>
      </c>
      <c r="G194" s="14" t="str">
        <f aca="false">IF(E194="","",'Reference Tables'!$C$16)</f>
        <v/>
      </c>
      <c r="H194" s="12" t="str">
        <f aca="false">IF(E194="","",IF(E194&gt;=150,"Yes","No"))</f>
        <v/>
      </c>
      <c r="I194" s="13" t="str">
        <f aca="false">IF(E194="","",IF(H194="Yes",E194*G194,0))</f>
        <v/>
      </c>
      <c r="J194" s="13" t="str">
        <f aca="false">IF(E194="","",E194-I194)</f>
        <v/>
      </c>
      <c r="K194" s="6"/>
      <c r="L194" s="6"/>
    </row>
    <row r="195" customFormat="false" ht="15" hidden="false" customHeight="false" outlineLevel="0" collapsed="false">
      <c r="A195" s="11"/>
      <c r="B195" s="6"/>
      <c r="C195" s="12" t="str">
        <f aca="false">IF(B195="","",IFERROR(INDEX('Black Registry'!$B$4:$B$103,MATCH(B195,'Black Registry'!$A$4:$A$103,0)),"Not found"))</f>
        <v/>
      </c>
      <c r="D195" s="6"/>
      <c r="E195" s="13" t="str">
        <f aca="false">IF(D195="","",IFERROR(INDEX('Reference Tables'!$B$3:$B$8,MATCH(D195,'Reference Tables'!$A$3:$A$8,0)),"Invalid package"))</f>
        <v/>
      </c>
      <c r="F195" s="12" t="str">
        <f aca="false">IF(D195="","",IFERROR(INDEX('Reference Tables'!$C$3:$C$8,MATCH(D195,'Reference Tables'!$A$3:$A$8,0)),"Invalid package"))</f>
        <v/>
      </c>
      <c r="G195" s="14" t="str">
        <f aca="false">IF(E195="","",'Reference Tables'!$C$16)</f>
        <v/>
      </c>
      <c r="H195" s="12" t="str">
        <f aca="false">IF(E195="","",IF(E195&gt;=150,"Yes","No"))</f>
        <v/>
      </c>
      <c r="I195" s="13" t="str">
        <f aca="false">IF(E195="","",IF(H195="Yes",E195*G195,0))</f>
        <v/>
      </c>
      <c r="J195" s="13" t="str">
        <f aca="false">IF(E195="","",E195-I195)</f>
        <v/>
      </c>
      <c r="K195" s="6"/>
      <c r="L195" s="6"/>
    </row>
    <row r="196" customFormat="false" ht="15" hidden="false" customHeight="false" outlineLevel="0" collapsed="false">
      <c r="A196" s="11"/>
      <c r="B196" s="6"/>
      <c r="C196" s="12" t="str">
        <f aca="false">IF(B196="","",IFERROR(INDEX('Black Registry'!$B$4:$B$103,MATCH(B196,'Black Registry'!$A$4:$A$103,0)),"Not found"))</f>
        <v/>
      </c>
      <c r="D196" s="6"/>
      <c r="E196" s="13" t="str">
        <f aca="false">IF(D196="","",IFERROR(INDEX('Reference Tables'!$B$3:$B$8,MATCH(D196,'Reference Tables'!$A$3:$A$8,0)),"Invalid package"))</f>
        <v/>
      </c>
      <c r="F196" s="12" t="str">
        <f aca="false">IF(D196="","",IFERROR(INDEX('Reference Tables'!$C$3:$C$8,MATCH(D196,'Reference Tables'!$A$3:$A$8,0)),"Invalid package"))</f>
        <v/>
      </c>
      <c r="G196" s="14" t="str">
        <f aca="false">IF(E196="","",'Reference Tables'!$C$16)</f>
        <v/>
      </c>
      <c r="H196" s="12" t="str">
        <f aca="false">IF(E196="","",IF(E196&gt;=150,"Yes","No"))</f>
        <v/>
      </c>
      <c r="I196" s="13" t="str">
        <f aca="false">IF(E196="","",IF(H196="Yes",E196*G196,0))</f>
        <v/>
      </c>
      <c r="J196" s="13" t="str">
        <f aca="false">IF(E196="","",E196-I196)</f>
        <v/>
      </c>
      <c r="K196" s="6"/>
      <c r="L196" s="6"/>
    </row>
    <row r="197" customFormat="false" ht="15" hidden="false" customHeight="false" outlineLevel="0" collapsed="false">
      <c r="A197" s="11"/>
      <c r="B197" s="6"/>
      <c r="C197" s="12" t="str">
        <f aca="false">IF(B197="","",IFERROR(INDEX('Black Registry'!$B$4:$B$103,MATCH(B197,'Black Registry'!$A$4:$A$103,0)),"Not found"))</f>
        <v/>
      </c>
      <c r="D197" s="6"/>
      <c r="E197" s="13" t="str">
        <f aca="false">IF(D197="","",IFERROR(INDEX('Reference Tables'!$B$3:$B$8,MATCH(D197,'Reference Tables'!$A$3:$A$8,0)),"Invalid package"))</f>
        <v/>
      </c>
      <c r="F197" s="12" t="str">
        <f aca="false">IF(D197="","",IFERROR(INDEX('Reference Tables'!$C$3:$C$8,MATCH(D197,'Reference Tables'!$A$3:$A$8,0)),"Invalid package"))</f>
        <v/>
      </c>
      <c r="G197" s="14" t="str">
        <f aca="false">IF(E197="","",'Reference Tables'!$C$16)</f>
        <v/>
      </c>
      <c r="H197" s="12" t="str">
        <f aca="false">IF(E197="","",IF(E197&gt;=150,"Yes","No"))</f>
        <v/>
      </c>
      <c r="I197" s="13" t="str">
        <f aca="false">IF(E197="","",IF(H197="Yes",E197*G197,0))</f>
        <v/>
      </c>
      <c r="J197" s="13" t="str">
        <f aca="false">IF(E197="","",E197-I197)</f>
        <v/>
      </c>
      <c r="K197" s="6"/>
      <c r="L197" s="6"/>
    </row>
    <row r="198" customFormat="false" ht="15" hidden="false" customHeight="false" outlineLevel="0" collapsed="false">
      <c r="A198" s="11"/>
      <c r="B198" s="6"/>
      <c r="C198" s="12" t="str">
        <f aca="false">IF(B198="","",IFERROR(INDEX('Black Registry'!$B$4:$B$103,MATCH(B198,'Black Registry'!$A$4:$A$103,0)),"Not found"))</f>
        <v/>
      </c>
      <c r="D198" s="6"/>
      <c r="E198" s="13" t="str">
        <f aca="false">IF(D198="","",IFERROR(INDEX('Reference Tables'!$B$3:$B$8,MATCH(D198,'Reference Tables'!$A$3:$A$8,0)),"Invalid package"))</f>
        <v/>
      </c>
      <c r="F198" s="12" t="str">
        <f aca="false">IF(D198="","",IFERROR(INDEX('Reference Tables'!$C$3:$C$8,MATCH(D198,'Reference Tables'!$A$3:$A$8,0)),"Invalid package"))</f>
        <v/>
      </c>
      <c r="G198" s="14" t="str">
        <f aca="false">IF(E198="","",'Reference Tables'!$C$16)</f>
        <v/>
      </c>
      <c r="H198" s="12" t="str">
        <f aca="false">IF(E198="","",IF(E198&gt;=150,"Yes","No"))</f>
        <v/>
      </c>
      <c r="I198" s="13" t="str">
        <f aca="false">IF(E198="","",IF(H198="Yes",E198*G198,0))</f>
        <v/>
      </c>
      <c r="J198" s="13" t="str">
        <f aca="false">IF(E198="","",E198-I198)</f>
        <v/>
      </c>
      <c r="K198" s="6"/>
      <c r="L198" s="6"/>
    </row>
    <row r="199" customFormat="false" ht="15" hidden="false" customHeight="false" outlineLevel="0" collapsed="false">
      <c r="A199" s="11"/>
      <c r="B199" s="6"/>
      <c r="C199" s="12" t="str">
        <f aca="false">IF(B199="","",IFERROR(INDEX('Black Registry'!$B$4:$B$103,MATCH(B199,'Black Registry'!$A$4:$A$103,0)),"Not found"))</f>
        <v/>
      </c>
      <c r="D199" s="6"/>
      <c r="E199" s="13" t="str">
        <f aca="false">IF(D199="","",IFERROR(INDEX('Reference Tables'!$B$3:$B$8,MATCH(D199,'Reference Tables'!$A$3:$A$8,0)),"Invalid package"))</f>
        <v/>
      </c>
      <c r="F199" s="12" t="str">
        <f aca="false">IF(D199="","",IFERROR(INDEX('Reference Tables'!$C$3:$C$8,MATCH(D199,'Reference Tables'!$A$3:$A$8,0)),"Invalid package"))</f>
        <v/>
      </c>
      <c r="G199" s="14" t="str">
        <f aca="false">IF(E199="","",'Reference Tables'!$C$16)</f>
        <v/>
      </c>
      <c r="H199" s="12" t="str">
        <f aca="false">IF(E199="","",IF(E199&gt;=150,"Yes","No"))</f>
        <v/>
      </c>
      <c r="I199" s="13" t="str">
        <f aca="false">IF(E199="","",IF(H199="Yes",E199*G199,0))</f>
        <v/>
      </c>
      <c r="J199" s="13" t="str">
        <f aca="false">IF(E199="","",E199-I199)</f>
        <v/>
      </c>
      <c r="K199" s="6"/>
      <c r="L199" s="6"/>
    </row>
    <row r="200" customFormat="false" ht="15" hidden="false" customHeight="false" outlineLevel="0" collapsed="false">
      <c r="A200" s="11"/>
      <c r="B200" s="6"/>
      <c r="C200" s="12" t="str">
        <f aca="false">IF(B200="","",IFERROR(INDEX('Black Registry'!$B$4:$B$103,MATCH(B200,'Black Registry'!$A$4:$A$103,0)),"Not found"))</f>
        <v/>
      </c>
      <c r="D200" s="6"/>
      <c r="E200" s="13" t="str">
        <f aca="false">IF(D200="","",IFERROR(INDEX('Reference Tables'!$B$3:$B$8,MATCH(D200,'Reference Tables'!$A$3:$A$8,0)),"Invalid package"))</f>
        <v/>
      </c>
      <c r="F200" s="12" t="str">
        <f aca="false">IF(D200="","",IFERROR(INDEX('Reference Tables'!$C$3:$C$8,MATCH(D200,'Reference Tables'!$A$3:$A$8,0)),"Invalid package"))</f>
        <v/>
      </c>
      <c r="G200" s="14" t="str">
        <f aca="false">IF(E200="","",'Reference Tables'!$C$16)</f>
        <v/>
      </c>
      <c r="H200" s="12" t="str">
        <f aca="false">IF(E200="","",IF(E200&gt;=150,"Yes","No"))</f>
        <v/>
      </c>
      <c r="I200" s="13" t="str">
        <f aca="false">IF(E200="","",IF(H200="Yes",E200*G200,0))</f>
        <v/>
      </c>
      <c r="J200" s="13" t="str">
        <f aca="false">IF(E200="","",E200-I200)</f>
        <v/>
      </c>
      <c r="K200" s="6"/>
      <c r="L200" s="6"/>
    </row>
    <row r="201" customFormat="false" ht="15" hidden="false" customHeight="false" outlineLevel="0" collapsed="false">
      <c r="A201" s="11"/>
      <c r="B201" s="6"/>
      <c r="C201" s="12" t="str">
        <f aca="false">IF(B201="","",IFERROR(INDEX('Black Registry'!$B$4:$B$103,MATCH(B201,'Black Registry'!$A$4:$A$103,0)),"Not found"))</f>
        <v/>
      </c>
      <c r="D201" s="6"/>
      <c r="E201" s="13" t="str">
        <f aca="false">IF(D201="","",IFERROR(INDEX('Reference Tables'!$B$3:$B$8,MATCH(D201,'Reference Tables'!$A$3:$A$8,0)),"Invalid package"))</f>
        <v/>
      </c>
      <c r="F201" s="12" t="str">
        <f aca="false">IF(D201="","",IFERROR(INDEX('Reference Tables'!$C$3:$C$8,MATCH(D201,'Reference Tables'!$A$3:$A$8,0)),"Invalid package"))</f>
        <v/>
      </c>
      <c r="G201" s="14" t="str">
        <f aca="false">IF(E201="","",'Reference Tables'!$C$16)</f>
        <v/>
      </c>
      <c r="H201" s="12" t="str">
        <f aca="false">IF(E201="","",IF(E201&gt;=150,"Yes","No"))</f>
        <v/>
      </c>
      <c r="I201" s="13" t="str">
        <f aca="false">IF(E201="","",IF(H201="Yes",E201*G201,0))</f>
        <v/>
      </c>
      <c r="J201" s="13" t="str">
        <f aca="false">IF(E201="","",E201-I201)</f>
        <v/>
      </c>
      <c r="K201" s="6"/>
      <c r="L201" s="6"/>
    </row>
    <row r="202" customFormat="false" ht="15" hidden="false" customHeight="false" outlineLevel="0" collapsed="false">
      <c r="A202" s="11"/>
      <c r="B202" s="6"/>
      <c r="C202" s="12" t="str">
        <f aca="false">IF(B202="","",IFERROR(INDEX('Black Registry'!$B$4:$B$103,MATCH(B202,'Black Registry'!$A$4:$A$103,0)),"Not found"))</f>
        <v/>
      </c>
      <c r="D202" s="6"/>
      <c r="E202" s="13" t="str">
        <f aca="false">IF(D202="","",IFERROR(INDEX('Reference Tables'!$B$3:$B$8,MATCH(D202,'Reference Tables'!$A$3:$A$8,0)),"Invalid package"))</f>
        <v/>
      </c>
      <c r="F202" s="12" t="str">
        <f aca="false">IF(D202="","",IFERROR(INDEX('Reference Tables'!$C$3:$C$8,MATCH(D202,'Reference Tables'!$A$3:$A$8,0)),"Invalid package"))</f>
        <v/>
      </c>
      <c r="G202" s="14" t="str">
        <f aca="false">IF(E202="","",'Reference Tables'!$C$16)</f>
        <v/>
      </c>
      <c r="H202" s="12" t="str">
        <f aca="false">IF(E202="","",IF(E202&gt;=150,"Yes","No"))</f>
        <v/>
      </c>
      <c r="I202" s="13" t="str">
        <f aca="false">IF(E202="","",IF(H202="Yes",E202*G202,0))</f>
        <v/>
      </c>
      <c r="J202" s="13" t="str">
        <f aca="false">IF(E202="","",E202-I202)</f>
        <v/>
      </c>
      <c r="K202" s="6"/>
      <c r="L202" s="6"/>
    </row>
    <row r="203" customFormat="false" ht="15" hidden="false" customHeight="false" outlineLevel="0" collapsed="false">
      <c r="A203" s="11"/>
      <c r="B203" s="6"/>
      <c r="C203" s="12" t="str">
        <f aca="false">IF(B203="","",IFERROR(INDEX('Black Registry'!$B$4:$B$103,MATCH(B203,'Black Registry'!$A$4:$A$103,0)),"Not found"))</f>
        <v/>
      </c>
      <c r="D203" s="6"/>
      <c r="E203" s="13" t="str">
        <f aca="false">IF(D203="","",IFERROR(INDEX('Reference Tables'!$B$3:$B$8,MATCH(D203,'Reference Tables'!$A$3:$A$8,0)),"Invalid package"))</f>
        <v/>
      </c>
      <c r="F203" s="12" t="str">
        <f aca="false">IF(D203="","",IFERROR(INDEX('Reference Tables'!$C$3:$C$8,MATCH(D203,'Reference Tables'!$A$3:$A$8,0)),"Invalid package"))</f>
        <v/>
      </c>
      <c r="G203" s="14" t="str">
        <f aca="false">IF(E203="","",'Reference Tables'!$C$16)</f>
        <v/>
      </c>
      <c r="H203" s="12" t="str">
        <f aca="false">IF(E203="","",IF(E203&gt;=150,"Yes","No"))</f>
        <v/>
      </c>
      <c r="I203" s="13" t="str">
        <f aca="false">IF(E203="","",IF(H203="Yes",E203*G203,0))</f>
        <v/>
      </c>
      <c r="J203" s="13" t="str">
        <f aca="false">IF(E203="","",E203-I203)</f>
        <v/>
      </c>
      <c r="K203" s="6"/>
      <c r="L203" s="6"/>
    </row>
    <row r="204" customFormat="false" ht="15" hidden="false" customHeight="false" outlineLevel="0" collapsed="false">
      <c r="A204" s="11"/>
      <c r="B204" s="6"/>
      <c r="C204" s="12" t="str">
        <f aca="false">IF(B204="","",IFERROR(INDEX('Black Registry'!$B$4:$B$103,MATCH(B204,'Black Registry'!$A$4:$A$103,0)),"Not found"))</f>
        <v/>
      </c>
      <c r="D204" s="6"/>
      <c r="E204" s="13" t="str">
        <f aca="false">IF(D204="","",IFERROR(INDEX('Reference Tables'!$B$3:$B$8,MATCH(D204,'Reference Tables'!$A$3:$A$8,0)),"Invalid package"))</f>
        <v/>
      </c>
      <c r="F204" s="12" t="str">
        <f aca="false">IF(D204="","",IFERROR(INDEX('Reference Tables'!$C$3:$C$8,MATCH(D204,'Reference Tables'!$A$3:$A$8,0)),"Invalid package"))</f>
        <v/>
      </c>
      <c r="G204" s="14" t="str">
        <f aca="false">IF(E204="","",'Reference Tables'!$C$16)</f>
        <v/>
      </c>
      <c r="H204" s="12" t="str">
        <f aca="false">IF(E204="","",IF(E204&gt;=150,"Yes","No"))</f>
        <v/>
      </c>
      <c r="I204" s="13" t="str">
        <f aca="false">IF(E204="","",IF(H204="Yes",E204*G204,0))</f>
        <v/>
      </c>
      <c r="J204" s="13" t="str">
        <f aca="false">IF(E204="","",E204-I204)</f>
        <v/>
      </c>
      <c r="K204" s="6"/>
      <c r="L204" s="6"/>
    </row>
    <row r="205" customFormat="false" ht="15" hidden="false" customHeight="false" outlineLevel="0" collapsed="false">
      <c r="A205" s="11"/>
      <c r="B205" s="6"/>
      <c r="C205" s="12" t="str">
        <f aca="false">IF(B205="","",IFERROR(INDEX('Black Registry'!$B$4:$B$103,MATCH(B205,'Black Registry'!$A$4:$A$103,0)),"Not found"))</f>
        <v/>
      </c>
      <c r="D205" s="6"/>
      <c r="E205" s="13" t="str">
        <f aca="false">IF(D205="","",IFERROR(INDEX('Reference Tables'!$B$3:$B$8,MATCH(D205,'Reference Tables'!$A$3:$A$8,0)),"Invalid package"))</f>
        <v/>
      </c>
      <c r="F205" s="12" t="str">
        <f aca="false">IF(D205="","",IFERROR(INDEX('Reference Tables'!$C$3:$C$8,MATCH(D205,'Reference Tables'!$A$3:$A$8,0)),"Invalid package"))</f>
        <v/>
      </c>
      <c r="G205" s="14" t="str">
        <f aca="false">IF(E205="","",'Reference Tables'!$C$16)</f>
        <v/>
      </c>
      <c r="H205" s="12" t="str">
        <f aca="false">IF(E205="","",IF(E205&gt;=150,"Yes","No"))</f>
        <v/>
      </c>
      <c r="I205" s="13" t="str">
        <f aca="false">IF(E205="","",IF(H205="Yes",E205*G205,0))</f>
        <v/>
      </c>
      <c r="J205" s="13" t="str">
        <f aca="false">IF(E205="","",E205-I205)</f>
        <v/>
      </c>
      <c r="K205" s="6"/>
      <c r="L205" s="6"/>
    </row>
    <row r="206" customFormat="false" ht="15" hidden="false" customHeight="false" outlineLevel="0" collapsed="false">
      <c r="A206" s="11"/>
      <c r="B206" s="6"/>
      <c r="C206" s="12" t="str">
        <f aca="false">IF(B206="","",IFERROR(INDEX('Black Registry'!$B$4:$B$103,MATCH(B206,'Black Registry'!$A$4:$A$103,0)),"Not found"))</f>
        <v/>
      </c>
      <c r="D206" s="6"/>
      <c r="E206" s="13" t="str">
        <f aca="false">IF(D206="","",IFERROR(INDEX('Reference Tables'!$B$3:$B$8,MATCH(D206,'Reference Tables'!$A$3:$A$8,0)),"Invalid package"))</f>
        <v/>
      </c>
      <c r="F206" s="12" t="str">
        <f aca="false">IF(D206="","",IFERROR(INDEX('Reference Tables'!$C$3:$C$8,MATCH(D206,'Reference Tables'!$A$3:$A$8,0)),"Invalid package"))</f>
        <v/>
      </c>
      <c r="G206" s="14" t="str">
        <f aca="false">IF(E206="","",'Reference Tables'!$C$16)</f>
        <v/>
      </c>
      <c r="H206" s="12" t="str">
        <f aca="false">IF(E206="","",IF(E206&gt;=150,"Yes","No"))</f>
        <v/>
      </c>
      <c r="I206" s="13" t="str">
        <f aca="false">IF(E206="","",IF(H206="Yes",E206*G206,0))</f>
        <v/>
      </c>
      <c r="J206" s="13" t="str">
        <f aca="false">IF(E206="","",E206-I206)</f>
        <v/>
      </c>
      <c r="K206" s="6"/>
      <c r="L206" s="6"/>
    </row>
    <row r="207" customFormat="false" ht="15" hidden="false" customHeight="false" outlineLevel="0" collapsed="false">
      <c r="A207" s="11"/>
      <c r="B207" s="6"/>
      <c r="C207" s="12" t="str">
        <f aca="false">IF(B207="","",IFERROR(INDEX('Black Registry'!$B$4:$B$103,MATCH(B207,'Black Registry'!$A$4:$A$103,0)),"Not found"))</f>
        <v/>
      </c>
      <c r="D207" s="6"/>
      <c r="E207" s="13" t="str">
        <f aca="false">IF(D207="","",IFERROR(INDEX('Reference Tables'!$B$3:$B$8,MATCH(D207,'Reference Tables'!$A$3:$A$8,0)),"Invalid package"))</f>
        <v/>
      </c>
      <c r="F207" s="12" t="str">
        <f aca="false">IF(D207="","",IFERROR(INDEX('Reference Tables'!$C$3:$C$8,MATCH(D207,'Reference Tables'!$A$3:$A$8,0)),"Invalid package"))</f>
        <v/>
      </c>
      <c r="G207" s="14" t="str">
        <f aca="false">IF(E207="","",'Reference Tables'!$C$16)</f>
        <v/>
      </c>
      <c r="H207" s="12" t="str">
        <f aca="false">IF(E207="","",IF(E207&gt;=150,"Yes","No"))</f>
        <v/>
      </c>
      <c r="I207" s="13" t="str">
        <f aca="false">IF(E207="","",IF(H207="Yes",E207*G207,0))</f>
        <v/>
      </c>
      <c r="J207" s="13" t="str">
        <f aca="false">IF(E207="","",E207-I207)</f>
        <v/>
      </c>
      <c r="K207" s="6"/>
      <c r="L207" s="6"/>
    </row>
    <row r="208" customFormat="false" ht="15" hidden="false" customHeight="false" outlineLevel="0" collapsed="false">
      <c r="A208" s="11"/>
      <c r="B208" s="6"/>
      <c r="C208" s="12" t="str">
        <f aca="false">IF(B208="","",IFERROR(INDEX('Black Registry'!$B$4:$B$103,MATCH(B208,'Black Registry'!$A$4:$A$103,0)),"Not found"))</f>
        <v/>
      </c>
      <c r="D208" s="6"/>
      <c r="E208" s="13" t="str">
        <f aca="false">IF(D208="","",IFERROR(INDEX('Reference Tables'!$B$3:$B$8,MATCH(D208,'Reference Tables'!$A$3:$A$8,0)),"Invalid package"))</f>
        <v/>
      </c>
      <c r="F208" s="12" t="str">
        <f aca="false">IF(D208="","",IFERROR(INDEX('Reference Tables'!$C$3:$C$8,MATCH(D208,'Reference Tables'!$A$3:$A$8,0)),"Invalid package"))</f>
        <v/>
      </c>
      <c r="G208" s="14" t="str">
        <f aca="false">IF(E208="","",'Reference Tables'!$C$16)</f>
        <v/>
      </c>
      <c r="H208" s="12" t="str">
        <f aca="false">IF(E208="","",IF(E208&gt;=150,"Yes","No"))</f>
        <v/>
      </c>
      <c r="I208" s="13" t="str">
        <f aca="false">IF(E208="","",IF(H208="Yes",E208*G208,0))</f>
        <v/>
      </c>
      <c r="J208" s="13" t="str">
        <f aca="false">IF(E208="","",E208-I208)</f>
        <v/>
      </c>
      <c r="K208" s="6"/>
      <c r="L208" s="6"/>
    </row>
    <row r="209" customFormat="false" ht="15" hidden="false" customHeight="false" outlineLevel="0" collapsed="false">
      <c r="A209" s="11"/>
      <c r="B209" s="6"/>
      <c r="C209" s="12" t="str">
        <f aca="false">IF(B209="","",IFERROR(INDEX('Black Registry'!$B$4:$B$103,MATCH(B209,'Black Registry'!$A$4:$A$103,0)),"Not found"))</f>
        <v/>
      </c>
      <c r="D209" s="6"/>
      <c r="E209" s="13" t="str">
        <f aca="false">IF(D209="","",IFERROR(INDEX('Reference Tables'!$B$3:$B$8,MATCH(D209,'Reference Tables'!$A$3:$A$8,0)),"Invalid package"))</f>
        <v/>
      </c>
      <c r="F209" s="12" t="str">
        <f aca="false">IF(D209="","",IFERROR(INDEX('Reference Tables'!$C$3:$C$8,MATCH(D209,'Reference Tables'!$A$3:$A$8,0)),"Invalid package"))</f>
        <v/>
      </c>
      <c r="G209" s="14" t="str">
        <f aca="false">IF(E209="","",'Reference Tables'!$C$16)</f>
        <v/>
      </c>
      <c r="H209" s="12" t="str">
        <f aca="false">IF(E209="","",IF(E209&gt;=150,"Yes","No"))</f>
        <v/>
      </c>
      <c r="I209" s="13" t="str">
        <f aca="false">IF(E209="","",IF(H209="Yes",E209*G209,0))</f>
        <v/>
      </c>
      <c r="J209" s="13" t="str">
        <f aca="false">IF(E209="","",E209-I209)</f>
        <v/>
      </c>
      <c r="K209" s="6"/>
      <c r="L209" s="6"/>
    </row>
    <row r="210" customFormat="false" ht="15" hidden="false" customHeight="false" outlineLevel="0" collapsed="false">
      <c r="A210" s="11"/>
      <c r="B210" s="6"/>
      <c r="C210" s="12" t="str">
        <f aca="false">IF(B210="","",IFERROR(INDEX('Black Registry'!$B$4:$B$103,MATCH(B210,'Black Registry'!$A$4:$A$103,0)),"Not found"))</f>
        <v/>
      </c>
      <c r="D210" s="6"/>
      <c r="E210" s="13" t="str">
        <f aca="false">IF(D210="","",IFERROR(INDEX('Reference Tables'!$B$3:$B$8,MATCH(D210,'Reference Tables'!$A$3:$A$8,0)),"Invalid package"))</f>
        <v/>
      </c>
      <c r="F210" s="12" t="str">
        <f aca="false">IF(D210="","",IFERROR(INDEX('Reference Tables'!$C$3:$C$8,MATCH(D210,'Reference Tables'!$A$3:$A$8,0)),"Invalid package"))</f>
        <v/>
      </c>
      <c r="G210" s="14" t="str">
        <f aca="false">IF(E210="","",'Reference Tables'!$C$16)</f>
        <v/>
      </c>
      <c r="H210" s="12" t="str">
        <f aca="false">IF(E210="","",IF(E210&gt;=150,"Yes","No"))</f>
        <v/>
      </c>
      <c r="I210" s="13" t="str">
        <f aca="false">IF(E210="","",IF(H210="Yes",E210*G210,0))</f>
        <v/>
      </c>
      <c r="J210" s="13" t="str">
        <f aca="false">IF(E210="","",E210-I210)</f>
        <v/>
      </c>
      <c r="K210" s="6"/>
      <c r="L210" s="6"/>
    </row>
    <row r="211" customFormat="false" ht="15" hidden="false" customHeight="false" outlineLevel="0" collapsed="false">
      <c r="A211" s="11"/>
      <c r="B211" s="6"/>
      <c r="C211" s="12" t="str">
        <f aca="false">IF(B211="","",IFERROR(INDEX('Black Registry'!$B$4:$B$103,MATCH(B211,'Black Registry'!$A$4:$A$103,0)),"Not found"))</f>
        <v/>
      </c>
      <c r="D211" s="6"/>
      <c r="E211" s="13" t="str">
        <f aca="false">IF(D211="","",IFERROR(INDEX('Reference Tables'!$B$3:$B$8,MATCH(D211,'Reference Tables'!$A$3:$A$8,0)),"Invalid package"))</f>
        <v/>
      </c>
      <c r="F211" s="12" t="str">
        <f aca="false">IF(D211="","",IFERROR(INDEX('Reference Tables'!$C$3:$C$8,MATCH(D211,'Reference Tables'!$A$3:$A$8,0)),"Invalid package"))</f>
        <v/>
      </c>
      <c r="G211" s="14" t="str">
        <f aca="false">IF(E211="","",'Reference Tables'!$C$16)</f>
        <v/>
      </c>
      <c r="H211" s="12" t="str">
        <f aca="false">IF(E211="","",IF(E211&gt;=150,"Yes","No"))</f>
        <v/>
      </c>
      <c r="I211" s="13" t="str">
        <f aca="false">IF(E211="","",IF(H211="Yes",E211*G211,0))</f>
        <v/>
      </c>
      <c r="J211" s="13" t="str">
        <f aca="false">IF(E211="","",E211-I211)</f>
        <v/>
      </c>
      <c r="K211" s="6"/>
      <c r="L211" s="6"/>
    </row>
    <row r="212" customFormat="false" ht="15" hidden="false" customHeight="false" outlineLevel="0" collapsed="false">
      <c r="A212" s="11"/>
      <c r="B212" s="6"/>
      <c r="C212" s="12" t="str">
        <f aca="false">IF(B212="","",IFERROR(INDEX('Black Registry'!$B$4:$B$103,MATCH(B212,'Black Registry'!$A$4:$A$103,0)),"Not found"))</f>
        <v/>
      </c>
      <c r="D212" s="6"/>
      <c r="E212" s="13" t="str">
        <f aca="false">IF(D212="","",IFERROR(INDEX('Reference Tables'!$B$3:$B$8,MATCH(D212,'Reference Tables'!$A$3:$A$8,0)),"Invalid package"))</f>
        <v/>
      </c>
      <c r="F212" s="12" t="str">
        <f aca="false">IF(D212="","",IFERROR(INDEX('Reference Tables'!$C$3:$C$8,MATCH(D212,'Reference Tables'!$A$3:$A$8,0)),"Invalid package"))</f>
        <v/>
      </c>
      <c r="G212" s="14" t="str">
        <f aca="false">IF(E212="","",'Reference Tables'!$C$16)</f>
        <v/>
      </c>
      <c r="H212" s="12" t="str">
        <f aca="false">IF(E212="","",IF(E212&gt;=150,"Yes","No"))</f>
        <v/>
      </c>
      <c r="I212" s="13" t="str">
        <f aca="false">IF(E212="","",IF(H212="Yes",E212*G212,0))</f>
        <v/>
      </c>
      <c r="J212" s="13" t="str">
        <f aca="false">IF(E212="","",E212-I212)</f>
        <v/>
      </c>
      <c r="K212" s="6"/>
      <c r="L212" s="6"/>
    </row>
    <row r="213" customFormat="false" ht="15" hidden="false" customHeight="false" outlineLevel="0" collapsed="false">
      <c r="A213" s="11"/>
      <c r="B213" s="6"/>
      <c r="C213" s="12" t="str">
        <f aca="false">IF(B213="","",IFERROR(INDEX('Black Registry'!$B$4:$B$103,MATCH(B213,'Black Registry'!$A$4:$A$103,0)),"Not found"))</f>
        <v/>
      </c>
      <c r="D213" s="6"/>
      <c r="E213" s="13" t="str">
        <f aca="false">IF(D213="","",IFERROR(INDEX('Reference Tables'!$B$3:$B$8,MATCH(D213,'Reference Tables'!$A$3:$A$8,0)),"Invalid package"))</f>
        <v/>
      </c>
      <c r="F213" s="12" t="str">
        <f aca="false">IF(D213="","",IFERROR(INDEX('Reference Tables'!$C$3:$C$8,MATCH(D213,'Reference Tables'!$A$3:$A$8,0)),"Invalid package"))</f>
        <v/>
      </c>
      <c r="G213" s="14" t="str">
        <f aca="false">IF(E213="","",'Reference Tables'!$C$16)</f>
        <v/>
      </c>
      <c r="H213" s="12" t="str">
        <f aca="false">IF(E213="","",IF(E213&gt;=150,"Yes","No"))</f>
        <v/>
      </c>
      <c r="I213" s="13" t="str">
        <f aca="false">IF(E213="","",IF(H213="Yes",E213*G213,0))</f>
        <v/>
      </c>
      <c r="J213" s="13" t="str">
        <f aca="false">IF(E213="","",E213-I213)</f>
        <v/>
      </c>
      <c r="K213" s="6"/>
      <c r="L213" s="6"/>
    </row>
    <row r="214" customFormat="false" ht="15" hidden="false" customHeight="false" outlineLevel="0" collapsed="false">
      <c r="A214" s="11"/>
      <c r="B214" s="6"/>
      <c r="C214" s="12" t="str">
        <f aca="false">IF(B214="","",IFERROR(INDEX('Black Registry'!$B$4:$B$103,MATCH(B214,'Black Registry'!$A$4:$A$103,0)),"Not found"))</f>
        <v/>
      </c>
      <c r="D214" s="6"/>
      <c r="E214" s="13" t="str">
        <f aca="false">IF(D214="","",IFERROR(INDEX('Reference Tables'!$B$3:$B$8,MATCH(D214,'Reference Tables'!$A$3:$A$8,0)),"Invalid package"))</f>
        <v/>
      </c>
      <c r="F214" s="12" t="str">
        <f aca="false">IF(D214="","",IFERROR(INDEX('Reference Tables'!$C$3:$C$8,MATCH(D214,'Reference Tables'!$A$3:$A$8,0)),"Invalid package"))</f>
        <v/>
      </c>
      <c r="G214" s="14" t="str">
        <f aca="false">IF(E214="","",'Reference Tables'!$C$16)</f>
        <v/>
      </c>
      <c r="H214" s="12" t="str">
        <f aca="false">IF(E214="","",IF(E214&gt;=150,"Yes","No"))</f>
        <v/>
      </c>
      <c r="I214" s="13" t="str">
        <f aca="false">IF(E214="","",IF(H214="Yes",E214*G214,0))</f>
        <v/>
      </c>
      <c r="J214" s="13" t="str">
        <f aca="false">IF(E214="","",E214-I214)</f>
        <v/>
      </c>
      <c r="K214" s="6"/>
      <c r="L214" s="6"/>
    </row>
    <row r="215" customFormat="false" ht="15" hidden="false" customHeight="false" outlineLevel="0" collapsed="false">
      <c r="A215" s="11"/>
      <c r="B215" s="6"/>
      <c r="C215" s="12" t="str">
        <f aca="false">IF(B215="","",IFERROR(INDEX('Black Registry'!$B$4:$B$103,MATCH(B215,'Black Registry'!$A$4:$A$103,0)),"Not found"))</f>
        <v/>
      </c>
      <c r="D215" s="6"/>
      <c r="E215" s="13" t="str">
        <f aca="false">IF(D215="","",IFERROR(INDEX('Reference Tables'!$B$3:$B$8,MATCH(D215,'Reference Tables'!$A$3:$A$8,0)),"Invalid package"))</f>
        <v/>
      </c>
      <c r="F215" s="12" t="str">
        <f aca="false">IF(D215="","",IFERROR(INDEX('Reference Tables'!$C$3:$C$8,MATCH(D215,'Reference Tables'!$A$3:$A$8,0)),"Invalid package"))</f>
        <v/>
      </c>
      <c r="G215" s="14" t="str">
        <f aca="false">IF(E215="","",'Reference Tables'!$C$16)</f>
        <v/>
      </c>
      <c r="H215" s="12" t="str">
        <f aca="false">IF(E215="","",IF(E215&gt;=150,"Yes","No"))</f>
        <v/>
      </c>
      <c r="I215" s="13" t="str">
        <f aca="false">IF(E215="","",IF(H215="Yes",E215*G215,0))</f>
        <v/>
      </c>
      <c r="J215" s="13" t="str">
        <f aca="false">IF(E215="","",E215-I215)</f>
        <v/>
      </c>
      <c r="K215" s="6"/>
      <c r="L215" s="6"/>
    </row>
    <row r="216" customFormat="false" ht="15" hidden="false" customHeight="false" outlineLevel="0" collapsed="false">
      <c r="A216" s="11"/>
      <c r="B216" s="6"/>
      <c r="C216" s="12" t="str">
        <f aca="false">IF(B216="","",IFERROR(INDEX('Black Registry'!$B$4:$B$103,MATCH(B216,'Black Registry'!$A$4:$A$103,0)),"Not found"))</f>
        <v/>
      </c>
      <c r="D216" s="6"/>
      <c r="E216" s="13" t="str">
        <f aca="false">IF(D216="","",IFERROR(INDEX('Reference Tables'!$B$3:$B$8,MATCH(D216,'Reference Tables'!$A$3:$A$8,0)),"Invalid package"))</f>
        <v/>
      </c>
      <c r="F216" s="12" t="str">
        <f aca="false">IF(D216="","",IFERROR(INDEX('Reference Tables'!$C$3:$C$8,MATCH(D216,'Reference Tables'!$A$3:$A$8,0)),"Invalid package"))</f>
        <v/>
      </c>
      <c r="G216" s="14" t="str">
        <f aca="false">IF(E216="","",'Reference Tables'!$C$16)</f>
        <v/>
      </c>
      <c r="H216" s="12" t="str">
        <f aca="false">IF(E216="","",IF(E216&gt;=150,"Yes","No"))</f>
        <v/>
      </c>
      <c r="I216" s="13" t="str">
        <f aca="false">IF(E216="","",IF(H216="Yes",E216*G216,0))</f>
        <v/>
      </c>
      <c r="J216" s="13" t="str">
        <f aca="false">IF(E216="","",E216-I216)</f>
        <v/>
      </c>
      <c r="K216" s="6"/>
      <c r="L216" s="6"/>
    </row>
    <row r="217" customFormat="false" ht="15" hidden="false" customHeight="false" outlineLevel="0" collapsed="false">
      <c r="A217" s="11"/>
      <c r="B217" s="6"/>
      <c r="C217" s="12" t="str">
        <f aca="false">IF(B217="","",IFERROR(INDEX('Black Registry'!$B$4:$B$103,MATCH(B217,'Black Registry'!$A$4:$A$103,0)),"Not found"))</f>
        <v/>
      </c>
      <c r="D217" s="6"/>
      <c r="E217" s="13" t="str">
        <f aca="false">IF(D217="","",IFERROR(INDEX('Reference Tables'!$B$3:$B$8,MATCH(D217,'Reference Tables'!$A$3:$A$8,0)),"Invalid package"))</f>
        <v/>
      </c>
      <c r="F217" s="12" t="str">
        <f aca="false">IF(D217="","",IFERROR(INDEX('Reference Tables'!$C$3:$C$8,MATCH(D217,'Reference Tables'!$A$3:$A$8,0)),"Invalid package"))</f>
        <v/>
      </c>
      <c r="G217" s="14" t="str">
        <f aca="false">IF(E217="","",'Reference Tables'!$C$16)</f>
        <v/>
      </c>
      <c r="H217" s="12" t="str">
        <f aca="false">IF(E217="","",IF(E217&gt;=150,"Yes","No"))</f>
        <v/>
      </c>
      <c r="I217" s="13" t="str">
        <f aca="false">IF(E217="","",IF(H217="Yes",E217*G217,0))</f>
        <v/>
      </c>
      <c r="J217" s="13" t="str">
        <f aca="false">IF(E217="","",E217-I217)</f>
        <v/>
      </c>
      <c r="K217" s="6"/>
      <c r="L217" s="6"/>
    </row>
    <row r="218" customFormat="false" ht="15" hidden="false" customHeight="false" outlineLevel="0" collapsed="false">
      <c r="A218" s="11"/>
      <c r="B218" s="6"/>
      <c r="C218" s="12" t="str">
        <f aca="false">IF(B218="","",IFERROR(INDEX('Black Registry'!$B$4:$B$103,MATCH(B218,'Black Registry'!$A$4:$A$103,0)),"Not found"))</f>
        <v/>
      </c>
      <c r="D218" s="6"/>
      <c r="E218" s="13" t="str">
        <f aca="false">IF(D218="","",IFERROR(INDEX('Reference Tables'!$B$3:$B$8,MATCH(D218,'Reference Tables'!$A$3:$A$8,0)),"Invalid package"))</f>
        <v/>
      </c>
      <c r="F218" s="12" t="str">
        <f aca="false">IF(D218="","",IFERROR(INDEX('Reference Tables'!$C$3:$C$8,MATCH(D218,'Reference Tables'!$A$3:$A$8,0)),"Invalid package"))</f>
        <v/>
      </c>
      <c r="G218" s="14" t="str">
        <f aca="false">IF(E218="","",'Reference Tables'!$C$16)</f>
        <v/>
      </c>
      <c r="H218" s="12" t="str">
        <f aca="false">IF(E218="","",IF(E218&gt;=150,"Yes","No"))</f>
        <v/>
      </c>
      <c r="I218" s="13" t="str">
        <f aca="false">IF(E218="","",IF(H218="Yes",E218*G218,0))</f>
        <v/>
      </c>
      <c r="J218" s="13" t="str">
        <f aca="false">IF(E218="","",E218-I218)</f>
        <v/>
      </c>
      <c r="K218" s="6"/>
      <c r="L218" s="6"/>
    </row>
    <row r="219" customFormat="false" ht="15" hidden="false" customHeight="false" outlineLevel="0" collapsed="false">
      <c r="A219" s="11"/>
      <c r="B219" s="6"/>
      <c r="C219" s="12" t="str">
        <f aca="false">IF(B219="","",IFERROR(INDEX('Black Registry'!$B$4:$B$103,MATCH(B219,'Black Registry'!$A$4:$A$103,0)),"Not found"))</f>
        <v/>
      </c>
      <c r="D219" s="6"/>
      <c r="E219" s="13" t="str">
        <f aca="false">IF(D219="","",IFERROR(INDEX('Reference Tables'!$B$3:$B$8,MATCH(D219,'Reference Tables'!$A$3:$A$8,0)),"Invalid package"))</f>
        <v/>
      </c>
      <c r="F219" s="12" t="str">
        <f aca="false">IF(D219="","",IFERROR(INDEX('Reference Tables'!$C$3:$C$8,MATCH(D219,'Reference Tables'!$A$3:$A$8,0)),"Invalid package"))</f>
        <v/>
      </c>
      <c r="G219" s="14" t="str">
        <f aca="false">IF(E219="","",'Reference Tables'!$C$16)</f>
        <v/>
      </c>
      <c r="H219" s="12" t="str">
        <f aca="false">IF(E219="","",IF(E219&gt;=150,"Yes","No"))</f>
        <v/>
      </c>
      <c r="I219" s="13" t="str">
        <f aca="false">IF(E219="","",IF(H219="Yes",E219*G219,0))</f>
        <v/>
      </c>
      <c r="J219" s="13" t="str">
        <f aca="false">IF(E219="","",E219-I219)</f>
        <v/>
      </c>
      <c r="K219" s="6"/>
      <c r="L219" s="6"/>
    </row>
    <row r="220" customFormat="false" ht="15" hidden="false" customHeight="false" outlineLevel="0" collapsed="false">
      <c r="A220" s="11"/>
      <c r="B220" s="6"/>
      <c r="C220" s="12" t="str">
        <f aca="false">IF(B220="","",IFERROR(INDEX('Black Registry'!$B$4:$B$103,MATCH(B220,'Black Registry'!$A$4:$A$103,0)),"Not found"))</f>
        <v/>
      </c>
      <c r="D220" s="6"/>
      <c r="E220" s="13" t="str">
        <f aca="false">IF(D220="","",IFERROR(INDEX('Reference Tables'!$B$3:$B$8,MATCH(D220,'Reference Tables'!$A$3:$A$8,0)),"Invalid package"))</f>
        <v/>
      </c>
      <c r="F220" s="12" t="str">
        <f aca="false">IF(D220="","",IFERROR(INDEX('Reference Tables'!$C$3:$C$8,MATCH(D220,'Reference Tables'!$A$3:$A$8,0)),"Invalid package"))</f>
        <v/>
      </c>
      <c r="G220" s="14" t="str">
        <f aca="false">IF(E220="","",'Reference Tables'!$C$16)</f>
        <v/>
      </c>
      <c r="H220" s="12" t="str">
        <f aca="false">IF(E220="","",IF(E220&gt;=150,"Yes","No"))</f>
        <v/>
      </c>
      <c r="I220" s="13" t="str">
        <f aca="false">IF(E220="","",IF(H220="Yes",E220*G220,0))</f>
        <v/>
      </c>
      <c r="J220" s="13" t="str">
        <f aca="false">IF(E220="","",E220-I220)</f>
        <v/>
      </c>
      <c r="K220" s="6"/>
      <c r="L220" s="6"/>
    </row>
    <row r="221" customFormat="false" ht="15" hidden="false" customHeight="false" outlineLevel="0" collapsed="false">
      <c r="A221" s="11"/>
      <c r="B221" s="6"/>
      <c r="C221" s="12" t="str">
        <f aca="false">IF(B221="","",IFERROR(INDEX('Black Registry'!$B$4:$B$103,MATCH(B221,'Black Registry'!$A$4:$A$103,0)),"Not found"))</f>
        <v/>
      </c>
      <c r="D221" s="6"/>
      <c r="E221" s="13" t="str">
        <f aca="false">IF(D221="","",IFERROR(INDEX('Reference Tables'!$B$3:$B$8,MATCH(D221,'Reference Tables'!$A$3:$A$8,0)),"Invalid package"))</f>
        <v/>
      </c>
      <c r="F221" s="12" t="str">
        <f aca="false">IF(D221="","",IFERROR(INDEX('Reference Tables'!$C$3:$C$8,MATCH(D221,'Reference Tables'!$A$3:$A$8,0)),"Invalid package"))</f>
        <v/>
      </c>
      <c r="G221" s="14" t="str">
        <f aca="false">IF(E221="","",'Reference Tables'!$C$16)</f>
        <v/>
      </c>
      <c r="H221" s="12" t="str">
        <f aca="false">IF(E221="","",IF(E221&gt;=150,"Yes","No"))</f>
        <v/>
      </c>
      <c r="I221" s="13" t="str">
        <f aca="false">IF(E221="","",IF(H221="Yes",E221*G221,0))</f>
        <v/>
      </c>
      <c r="J221" s="13" t="str">
        <f aca="false">IF(E221="","",E221-I221)</f>
        <v/>
      </c>
      <c r="K221" s="6"/>
      <c r="L221" s="6"/>
    </row>
    <row r="222" customFormat="false" ht="15" hidden="false" customHeight="false" outlineLevel="0" collapsed="false">
      <c r="A222" s="11"/>
      <c r="B222" s="6"/>
      <c r="C222" s="12" t="str">
        <f aca="false">IF(B222="","",IFERROR(INDEX('Black Registry'!$B$4:$B$103,MATCH(B222,'Black Registry'!$A$4:$A$103,0)),"Not found"))</f>
        <v/>
      </c>
      <c r="D222" s="6"/>
      <c r="E222" s="13" t="str">
        <f aca="false">IF(D222="","",IFERROR(INDEX('Reference Tables'!$B$3:$B$8,MATCH(D222,'Reference Tables'!$A$3:$A$8,0)),"Invalid package"))</f>
        <v/>
      </c>
      <c r="F222" s="12" t="str">
        <f aca="false">IF(D222="","",IFERROR(INDEX('Reference Tables'!$C$3:$C$8,MATCH(D222,'Reference Tables'!$A$3:$A$8,0)),"Invalid package"))</f>
        <v/>
      </c>
      <c r="G222" s="14" t="str">
        <f aca="false">IF(E222="","",'Reference Tables'!$C$16)</f>
        <v/>
      </c>
      <c r="H222" s="12" t="str">
        <f aca="false">IF(E222="","",IF(E222&gt;=150,"Yes","No"))</f>
        <v/>
      </c>
      <c r="I222" s="13" t="str">
        <f aca="false">IF(E222="","",IF(H222="Yes",E222*G222,0))</f>
        <v/>
      </c>
      <c r="J222" s="13" t="str">
        <f aca="false">IF(E222="","",E222-I222)</f>
        <v/>
      </c>
      <c r="K222" s="6"/>
      <c r="L222" s="6"/>
    </row>
    <row r="223" customFormat="false" ht="15" hidden="false" customHeight="false" outlineLevel="0" collapsed="false">
      <c r="A223" s="11"/>
      <c r="B223" s="6"/>
      <c r="C223" s="12" t="str">
        <f aca="false">IF(B223="","",IFERROR(INDEX('Black Registry'!$B$4:$B$103,MATCH(B223,'Black Registry'!$A$4:$A$103,0)),"Not found"))</f>
        <v/>
      </c>
      <c r="D223" s="6"/>
      <c r="E223" s="13" t="str">
        <f aca="false">IF(D223="","",IFERROR(INDEX('Reference Tables'!$B$3:$B$8,MATCH(D223,'Reference Tables'!$A$3:$A$8,0)),"Invalid package"))</f>
        <v/>
      </c>
      <c r="F223" s="12" t="str">
        <f aca="false">IF(D223="","",IFERROR(INDEX('Reference Tables'!$C$3:$C$8,MATCH(D223,'Reference Tables'!$A$3:$A$8,0)),"Invalid package"))</f>
        <v/>
      </c>
      <c r="G223" s="14" t="str">
        <f aca="false">IF(E223="","",'Reference Tables'!$C$16)</f>
        <v/>
      </c>
      <c r="H223" s="12" t="str">
        <f aca="false">IF(E223="","",IF(E223&gt;=150,"Yes","No"))</f>
        <v/>
      </c>
      <c r="I223" s="13" t="str">
        <f aca="false">IF(E223="","",IF(H223="Yes",E223*G223,0))</f>
        <v/>
      </c>
      <c r="J223" s="13" t="str">
        <f aca="false">IF(E223="","",E223-I223)</f>
        <v/>
      </c>
      <c r="K223" s="6"/>
      <c r="L223" s="6"/>
    </row>
    <row r="224" customFormat="false" ht="15" hidden="false" customHeight="false" outlineLevel="0" collapsed="false">
      <c r="A224" s="11"/>
      <c r="B224" s="6"/>
      <c r="C224" s="12" t="str">
        <f aca="false">IF(B224="","",IFERROR(INDEX('Black Registry'!$B$4:$B$103,MATCH(B224,'Black Registry'!$A$4:$A$103,0)),"Not found"))</f>
        <v/>
      </c>
      <c r="D224" s="6"/>
      <c r="E224" s="13" t="str">
        <f aca="false">IF(D224="","",IFERROR(INDEX('Reference Tables'!$B$3:$B$8,MATCH(D224,'Reference Tables'!$A$3:$A$8,0)),"Invalid package"))</f>
        <v/>
      </c>
      <c r="F224" s="12" t="str">
        <f aca="false">IF(D224="","",IFERROR(INDEX('Reference Tables'!$C$3:$C$8,MATCH(D224,'Reference Tables'!$A$3:$A$8,0)),"Invalid package"))</f>
        <v/>
      </c>
      <c r="G224" s="14" t="str">
        <f aca="false">IF(E224="","",'Reference Tables'!$C$16)</f>
        <v/>
      </c>
      <c r="H224" s="12" t="str">
        <f aca="false">IF(E224="","",IF(E224&gt;=150,"Yes","No"))</f>
        <v/>
      </c>
      <c r="I224" s="13" t="str">
        <f aca="false">IF(E224="","",IF(H224="Yes",E224*G224,0))</f>
        <v/>
      </c>
      <c r="J224" s="13" t="str">
        <f aca="false">IF(E224="","",E224-I224)</f>
        <v/>
      </c>
      <c r="K224" s="6"/>
      <c r="L224" s="6"/>
    </row>
    <row r="225" customFormat="false" ht="15" hidden="false" customHeight="false" outlineLevel="0" collapsed="false">
      <c r="A225" s="11"/>
      <c r="B225" s="6"/>
      <c r="C225" s="12" t="str">
        <f aca="false">IF(B225="","",IFERROR(INDEX('Black Registry'!$B$4:$B$103,MATCH(B225,'Black Registry'!$A$4:$A$103,0)),"Not found"))</f>
        <v/>
      </c>
      <c r="D225" s="6"/>
      <c r="E225" s="13" t="str">
        <f aca="false">IF(D225="","",IFERROR(INDEX('Reference Tables'!$B$3:$B$8,MATCH(D225,'Reference Tables'!$A$3:$A$8,0)),"Invalid package"))</f>
        <v/>
      </c>
      <c r="F225" s="12" t="str">
        <f aca="false">IF(D225="","",IFERROR(INDEX('Reference Tables'!$C$3:$C$8,MATCH(D225,'Reference Tables'!$A$3:$A$8,0)),"Invalid package"))</f>
        <v/>
      </c>
      <c r="G225" s="14" t="str">
        <f aca="false">IF(E225="","",'Reference Tables'!$C$16)</f>
        <v/>
      </c>
      <c r="H225" s="12" t="str">
        <f aca="false">IF(E225="","",IF(E225&gt;=150,"Yes","No"))</f>
        <v/>
      </c>
      <c r="I225" s="13" t="str">
        <f aca="false">IF(E225="","",IF(H225="Yes",E225*G225,0))</f>
        <v/>
      </c>
      <c r="J225" s="13" t="str">
        <f aca="false">IF(E225="","",E225-I225)</f>
        <v/>
      </c>
      <c r="K225" s="6"/>
      <c r="L225" s="6"/>
    </row>
    <row r="226" customFormat="false" ht="15" hidden="false" customHeight="false" outlineLevel="0" collapsed="false">
      <c r="A226" s="11"/>
      <c r="B226" s="6"/>
      <c r="C226" s="12" t="str">
        <f aca="false">IF(B226="","",IFERROR(INDEX('Black Registry'!$B$4:$B$103,MATCH(B226,'Black Registry'!$A$4:$A$103,0)),"Not found"))</f>
        <v/>
      </c>
      <c r="D226" s="6"/>
      <c r="E226" s="13" t="str">
        <f aca="false">IF(D226="","",IFERROR(INDEX('Reference Tables'!$B$3:$B$8,MATCH(D226,'Reference Tables'!$A$3:$A$8,0)),"Invalid package"))</f>
        <v/>
      </c>
      <c r="F226" s="12" t="str">
        <f aca="false">IF(D226="","",IFERROR(INDEX('Reference Tables'!$C$3:$C$8,MATCH(D226,'Reference Tables'!$A$3:$A$8,0)),"Invalid package"))</f>
        <v/>
      </c>
      <c r="G226" s="14" t="str">
        <f aca="false">IF(E226="","",'Reference Tables'!$C$16)</f>
        <v/>
      </c>
      <c r="H226" s="12" t="str">
        <f aca="false">IF(E226="","",IF(E226&gt;=150,"Yes","No"))</f>
        <v/>
      </c>
      <c r="I226" s="13" t="str">
        <f aca="false">IF(E226="","",IF(H226="Yes",E226*G226,0))</f>
        <v/>
      </c>
      <c r="J226" s="13" t="str">
        <f aca="false">IF(E226="","",E226-I226)</f>
        <v/>
      </c>
      <c r="K226" s="6"/>
      <c r="L226" s="6"/>
    </row>
    <row r="227" customFormat="false" ht="15" hidden="false" customHeight="false" outlineLevel="0" collapsed="false">
      <c r="A227" s="11"/>
      <c r="B227" s="6"/>
      <c r="C227" s="12" t="str">
        <f aca="false">IF(B227="","",IFERROR(INDEX('Black Registry'!$B$4:$B$103,MATCH(B227,'Black Registry'!$A$4:$A$103,0)),"Not found"))</f>
        <v/>
      </c>
      <c r="D227" s="6"/>
      <c r="E227" s="13" t="str">
        <f aca="false">IF(D227="","",IFERROR(INDEX('Reference Tables'!$B$3:$B$8,MATCH(D227,'Reference Tables'!$A$3:$A$8,0)),"Invalid package"))</f>
        <v/>
      </c>
      <c r="F227" s="12" t="str">
        <f aca="false">IF(D227="","",IFERROR(INDEX('Reference Tables'!$C$3:$C$8,MATCH(D227,'Reference Tables'!$A$3:$A$8,0)),"Invalid package"))</f>
        <v/>
      </c>
      <c r="G227" s="14" t="str">
        <f aca="false">IF(E227="","",'Reference Tables'!$C$16)</f>
        <v/>
      </c>
      <c r="H227" s="12" t="str">
        <f aca="false">IF(E227="","",IF(E227&gt;=150,"Yes","No"))</f>
        <v/>
      </c>
      <c r="I227" s="13" t="str">
        <f aca="false">IF(E227="","",IF(H227="Yes",E227*G227,0))</f>
        <v/>
      </c>
      <c r="J227" s="13" t="str">
        <f aca="false">IF(E227="","",E227-I227)</f>
        <v/>
      </c>
      <c r="K227" s="6"/>
      <c r="L227" s="6"/>
    </row>
    <row r="228" customFormat="false" ht="15" hidden="false" customHeight="false" outlineLevel="0" collapsed="false">
      <c r="A228" s="11"/>
      <c r="B228" s="6"/>
      <c r="C228" s="12" t="str">
        <f aca="false">IF(B228="","",IFERROR(INDEX('Black Registry'!$B$4:$B$103,MATCH(B228,'Black Registry'!$A$4:$A$103,0)),"Not found"))</f>
        <v/>
      </c>
      <c r="D228" s="6"/>
      <c r="E228" s="13" t="str">
        <f aca="false">IF(D228="","",IFERROR(INDEX('Reference Tables'!$B$3:$B$8,MATCH(D228,'Reference Tables'!$A$3:$A$8,0)),"Invalid package"))</f>
        <v/>
      </c>
      <c r="F228" s="12" t="str">
        <f aca="false">IF(D228="","",IFERROR(INDEX('Reference Tables'!$C$3:$C$8,MATCH(D228,'Reference Tables'!$A$3:$A$8,0)),"Invalid package"))</f>
        <v/>
      </c>
      <c r="G228" s="14" t="str">
        <f aca="false">IF(E228="","",'Reference Tables'!$C$16)</f>
        <v/>
      </c>
      <c r="H228" s="12" t="str">
        <f aca="false">IF(E228="","",IF(E228&gt;=150,"Yes","No"))</f>
        <v/>
      </c>
      <c r="I228" s="13" t="str">
        <f aca="false">IF(E228="","",IF(H228="Yes",E228*G228,0))</f>
        <v/>
      </c>
      <c r="J228" s="13" t="str">
        <f aca="false">IF(E228="","",E228-I228)</f>
        <v/>
      </c>
      <c r="K228" s="6"/>
      <c r="L228" s="6"/>
    </row>
    <row r="229" customFormat="false" ht="15" hidden="false" customHeight="false" outlineLevel="0" collapsed="false">
      <c r="A229" s="11"/>
      <c r="B229" s="6"/>
      <c r="C229" s="12" t="str">
        <f aca="false">IF(B229="","",IFERROR(INDEX('Black Registry'!$B$4:$B$103,MATCH(B229,'Black Registry'!$A$4:$A$103,0)),"Not found"))</f>
        <v/>
      </c>
      <c r="D229" s="6"/>
      <c r="E229" s="13" t="str">
        <f aca="false">IF(D229="","",IFERROR(INDEX('Reference Tables'!$B$3:$B$8,MATCH(D229,'Reference Tables'!$A$3:$A$8,0)),"Invalid package"))</f>
        <v/>
      </c>
      <c r="F229" s="12" t="str">
        <f aca="false">IF(D229="","",IFERROR(INDEX('Reference Tables'!$C$3:$C$8,MATCH(D229,'Reference Tables'!$A$3:$A$8,0)),"Invalid package"))</f>
        <v/>
      </c>
      <c r="G229" s="14" t="str">
        <f aca="false">IF(E229="","",'Reference Tables'!$C$16)</f>
        <v/>
      </c>
      <c r="H229" s="12" t="str">
        <f aca="false">IF(E229="","",IF(E229&gt;=150,"Yes","No"))</f>
        <v/>
      </c>
      <c r="I229" s="13" t="str">
        <f aca="false">IF(E229="","",IF(H229="Yes",E229*G229,0))</f>
        <v/>
      </c>
      <c r="J229" s="13" t="str">
        <f aca="false">IF(E229="","",E229-I229)</f>
        <v/>
      </c>
      <c r="K229" s="6"/>
      <c r="L229" s="6"/>
    </row>
    <row r="230" customFormat="false" ht="15" hidden="false" customHeight="false" outlineLevel="0" collapsed="false">
      <c r="A230" s="11"/>
      <c r="B230" s="6"/>
      <c r="C230" s="12" t="str">
        <f aca="false">IF(B230="","",IFERROR(INDEX('Black Registry'!$B$4:$B$103,MATCH(B230,'Black Registry'!$A$4:$A$103,0)),"Not found"))</f>
        <v/>
      </c>
      <c r="D230" s="6"/>
      <c r="E230" s="13" t="str">
        <f aca="false">IF(D230="","",IFERROR(INDEX('Reference Tables'!$B$3:$B$8,MATCH(D230,'Reference Tables'!$A$3:$A$8,0)),"Invalid package"))</f>
        <v/>
      </c>
      <c r="F230" s="12" t="str">
        <f aca="false">IF(D230="","",IFERROR(INDEX('Reference Tables'!$C$3:$C$8,MATCH(D230,'Reference Tables'!$A$3:$A$8,0)),"Invalid package"))</f>
        <v/>
      </c>
      <c r="G230" s="14" t="str">
        <f aca="false">IF(E230="","",'Reference Tables'!$C$16)</f>
        <v/>
      </c>
      <c r="H230" s="12" t="str">
        <f aca="false">IF(E230="","",IF(E230&gt;=150,"Yes","No"))</f>
        <v/>
      </c>
      <c r="I230" s="13" t="str">
        <f aca="false">IF(E230="","",IF(H230="Yes",E230*G230,0))</f>
        <v/>
      </c>
      <c r="J230" s="13" t="str">
        <f aca="false">IF(E230="","",E230-I230)</f>
        <v/>
      </c>
      <c r="K230" s="6"/>
      <c r="L230" s="6"/>
    </row>
    <row r="231" customFormat="false" ht="15" hidden="false" customHeight="false" outlineLevel="0" collapsed="false">
      <c r="A231" s="11"/>
      <c r="B231" s="6"/>
      <c r="C231" s="12" t="str">
        <f aca="false">IF(B231="","",IFERROR(INDEX('Black Registry'!$B$4:$B$103,MATCH(B231,'Black Registry'!$A$4:$A$103,0)),"Not found"))</f>
        <v/>
      </c>
      <c r="D231" s="6"/>
      <c r="E231" s="13" t="str">
        <f aca="false">IF(D231="","",IFERROR(INDEX('Reference Tables'!$B$3:$B$8,MATCH(D231,'Reference Tables'!$A$3:$A$8,0)),"Invalid package"))</f>
        <v/>
      </c>
      <c r="F231" s="12" t="str">
        <f aca="false">IF(D231="","",IFERROR(INDEX('Reference Tables'!$C$3:$C$8,MATCH(D231,'Reference Tables'!$A$3:$A$8,0)),"Invalid package"))</f>
        <v/>
      </c>
      <c r="G231" s="14" t="str">
        <f aca="false">IF(E231="","",'Reference Tables'!$C$16)</f>
        <v/>
      </c>
      <c r="H231" s="12" t="str">
        <f aca="false">IF(E231="","",IF(E231&gt;=150,"Yes","No"))</f>
        <v/>
      </c>
      <c r="I231" s="13" t="str">
        <f aca="false">IF(E231="","",IF(H231="Yes",E231*G231,0))</f>
        <v/>
      </c>
      <c r="J231" s="13" t="str">
        <f aca="false">IF(E231="","",E231-I231)</f>
        <v/>
      </c>
      <c r="K231" s="6"/>
      <c r="L231" s="6"/>
    </row>
    <row r="232" customFormat="false" ht="15" hidden="false" customHeight="false" outlineLevel="0" collapsed="false">
      <c r="A232" s="11"/>
      <c r="B232" s="6"/>
      <c r="C232" s="12" t="str">
        <f aca="false">IF(B232="","",IFERROR(INDEX('Black Registry'!$B$4:$B$103,MATCH(B232,'Black Registry'!$A$4:$A$103,0)),"Not found"))</f>
        <v/>
      </c>
      <c r="D232" s="6"/>
      <c r="E232" s="13" t="str">
        <f aca="false">IF(D232="","",IFERROR(INDEX('Reference Tables'!$B$3:$B$8,MATCH(D232,'Reference Tables'!$A$3:$A$8,0)),"Invalid package"))</f>
        <v/>
      </c>
      <c r="F232" s="12" t="str">
        <f aca="false">IF(D232="","",IFERROR(INDEX('Reference Tables'!$C$3:$C$8,MATCH(D232,'Reference Tables'!$A$3:$A$8,0)),"Invalid package"))</f>
        <v/>
      </c>
      <c r="G232" s="14" t="str">
        <f aca="false">IF(E232="","",'Reference Tables'!$C$16)</f>
        <v/>
      </c>
      <c r="H232" s="12" t="str">
        <f aca="false">IF(E232="","",IF(E232&gt;=150,"Yes","No"))</f>
        <v/>
      </c>
      <c r="I232" s="13" t="str">
        <f aca="false">IF(E232="","",IF(H232="Yes",E232*G232,0))</f>
        <v/>
      </c>
      <c r="J232" s="13" t="str">
        <f aca="false">IF(E232="","",E232-I232)</f>
        <v/>
      </c>
      <c r="K232" s="6"/>
      <c r="L232" s="6"/>
    </row>
    <row r="233" customFormat="false" ht="15" hidden="false" customHeight="false" outlineLevel="0" collapsed="false">
      <c r="A233" s="11"/>
      <c r="B233" s="6"/>
      <c r="C233" s="12" t="str">
        <f aca="false">IF(B233="","",IFERROR(INDEX('Black Registry'!$B$4:$B$103,MATCH(B233,'Black Registry'!$A$4:$A$103,0)),"Not found"))</f>
        <v/>
      </c>
      <c r="D233" s="6"/>
      <c r="E233" s="13" t="str">
        <f aca="false">IF(D233="","",IFERROR(INDEX('Reference Tables'!$B$3:$B$8,MATCH(D233,'Reference Tables'!$A$3:$A$8,0)),"Invalid package"))</f>
        <v/>
      </c>
      <c r="F233" s="12" t="str">
        <f aca="false">IF(D233="","",IFERROR(INDEX('Reference Tables'!$C$3:$C$8,MATCH(D233,'Reference Tables'!$A$3:$A$8,0)),"Invalid package"))</f>
        <v/>
      </c>
      <c r="G233" s="14" t="str">
        <f aca="false">IF(E233="","",'Reference Tables'!$C$16)</f>
        <v/>
      </c>
      <c r="H233" s="12" t="str">
        <f aca="false">IF(E233="","",IF(E233&gt;=150,"Yes","No"))</f>
        <v/>
      </c>
      <c r="I233" s="13" t="str">
        <f aca="false">IF(E233="","",IF(H233="Yes",E233*G233,0))</f>
        <v/>
      </c>
      <c r="J233" s="13" t="str">
        <f aca="false">IF(E233="","",E233-I233)</f>
        <v/>
      </c>
      <c r="K233" s="6"/>
      <c r="L233" s="6"/>
    </row>
    <row r="234" customFormat="false" ht="15" hidden="false" customHeight="false" outlineLevel="0" collapsed="false">
      <c r="A234" s="11"/>
      <c r="B234" s="6"/>
      <c r="C234" s="12" t="str">
        <f aca="false">IF(B234="","",IFERROR(INDEX('Black Registry'!$B$4:$B$103,MATCH(B234,'Black Registry'!$A$4:$A$103,0)),"Not found"))</f>
        <v/>
      </c>
      <c r="D234" s="6"/>
      <c r="E234" s="13" t="str">
        <f aca="false">IF(D234="","",IFERROR(INDEX('Reference Tables'!$B$3:$B$8,MATCH(D234,'Reference Tables'!$A$3:$A$8,0)),"Invalid package"))</f>
        <v/>
      </c>
      <c r="F234" s="12" t="str">
        <f aca="false">IF(D234="","",IFERROR(INDEX('Reference Tables'!$C$3:$C$8,MATCH(D234,'Reference Tables'!$A$3:$A$8,0)),"Invalid package"))</f>
        <v/>
      </c>
      <c r="G234" s="14" t="str">
        <f aca="false">IF(E234="","",'Reference Tables'!$C$16)</f>
        <v/>
      </c>
      <c r="H234" s="12" t="str">
        <f aca="false">IF(E234="","",IF(E234&gt;=150,"Yes","No"))</f>
        <v/>
      </c>
      <c r="I234" s="13" t="str">
        <f aca="false">IF(E234="","",IF(H234="Yes",E234*G234,0))</f>
        <v/>
      </c>
      <c r="J234" s="13" t="str">
        <f aca="false">IF(E234="","",E234-I234)</f>
        <v/>
      </c>
      <c r="K234" s="6"/>
      <c r="L234" s="6"/>
    </row>
    <row r="235" customFormat="false" ht="15" hidden="false" customHeight="false" outlineLevel="0" collapsed="false">
      <c r="A235" s="11"/>
      <c r="B235" s="6"/>
      <c r="C235" s="12" t="str">
        <f aca="false">IF(B235="","",IFERROR(INDEX('Black Registry'!$B$4:$B$103,MATCH(B235,'Black Registry'!$A$4:$A$103,0)),"Not found"))</f>
        <v/>
      </c>
      <c r="D235" s="6"/>
      <c r="E235" s="13" t="str">
        <f aca="false">IF(D235="","",IFERROR(INDEX('Reference Tables'!$B$3:$B$8,MATCH(D235,'Reference Tables'!$A$3:$A$8,0)),"Invalid package"))</f>
        <v/>
      </c>
      <c r="F235" s="12" t="str">
        <f aca="false">IF(D235="","",IFERROR(INDEX('Reference Tables'!$C$3:$C$8,MATCH(D235,'Reference Tables'!$A$3:$A$8,0)),"Invalid package"))</f>
        <v/>
      </c>
      <c r="G235" s="14" t="str">
        <f aca="false">IF(E235="","",'Reference Tables'!$C$16)</f>
        <v/>
      </c>
      <c r="H235" s="12" t="str">
        <f aca="false">IF(E235="","",IF(E235&gt;=150,"Yes","No"))</f>
        <v/>
      </c>
      <c r="I235" s="13" t="str">
        <f aca="false">IF(E235="","",IF(H235="Yes",E235*G235,0))</f>
        <v/>
      </c>
      <c r="J235" s="13" t="str">
        <f aca="false">IF(E235="","",E235-I235)</f>
        <v/>
      </c>
      <c r="K235" s="6"/>
      <c r="L235" s="6"/>
    </row>
    <row r="236" customFormat="false" ht="15" hidden="false" customHeight="false" outlineLevel="0" collapsed="false">
      <c r="A236" s="11"/>
      <c r="B236" s="6"/>
      <c r="C236" s="12" t="str">
        <f aca="false">IF(B236="","",IFERROR(INDEX('Black Registry'!$B$4:$B$103,MATCH(B236,'Black Registry'!$A$4:$A$103,0)),"Not found"))</f>
        <v/>
      </c>
      <c r="D236" s="6"/>
      <c r="E236" s="13" t="str">
        <f aca="false">IF(D236="","",IFERROR(INDEX('Reference Tables'!$B$3:$B$8,MATCH(D236,'Reference Tables'!$A$3:$A$8,0)),"Invalid package"))</f>
        <v/>
      </c>
      <c r="F236" s="12" t="str">
        <f aca="false">IF(D236="","",IFERROR(INDEX('Reference Tables'!$C$3:$C$8,MATCH(D236,'Reference Tables'!$A$3:$A$8,0)),"Invalid package"))</f>
        <v/>
      </c>
      <c r="G236" s="14" t="str">
        <f aca="false">IF(E236="","",'Reference Tables'!$C$16)</f>
        <v/>
      </c>
      <c r="H236" s="12" t="str">
        <f aca="false">IF(E236="","",IF(E236&gt;=150,"Yes","No"))</f>
        <v/>
      </c>
      <c r="I236" s="13" t="str">
        <f aca="false">IF(E236="","",IF(H236="Yes",E236*G236,0))</f>
        <v/>
      </c>
      <c r="J236" s="13" t="str">
        <f aca="false">IF(E236="","",E236-I236)</f>
        <v/>
      </c>
      <c r="K236" s="6"/>
      <c r="L236" s="6"/>
    </row>
    <row r="237" customFormat="false" ht="15" hidden="false" customHeight="false" outlineLevel="0" collapsed="false">
      <c r="A237" s="11"/>
      <c r="B237" s="6"/>
      <c r="C237" s="12" t="str">
        <f aca="false">IF(B237="","",IFERROR(INDEX('Black Registry'!$B$4:$B$103,MATCH(B237,'Black Registry'!$A$4:$A$103,0)),"Not found"))</f>
        <v/>
      </c>
      <c r="D237" s="6"/>
      <c r="E237" s="13" t="str">
        <f aca="false">IF(D237="","",IFERROR(INDEX('Reference Tables'!$B$3:$B$8,MATCH(D237,'Reference Tables'!$A$3:$A$8,0)),"Invalid package"))</f>
        <v/>
      </c>
      <c r="F237" s="12" t="str">
        <f aca="false">IF(D237="","",IFERROR(INDEX('Reference Tables'!$C$3:$C$8,MATCH(D237,'Reference Tables'!$A$3:$A$8,0)),"Invalid package"))</f>
        <v/>
      </c>
      <c r="G237" s="14" t="str">
        <f aca="false">IF(E237="","",'Reference Tables'!$C$16)</f>
        <v/>
      </c>
      <c r="H237" s="12" t="str">
        <f aca="false">IF(E237="","",IF(E237&gt;=150,"Yes","No"))</f>
        <v/>
      </c>
      <c r="I237" s="13" t="str">
        <f aca="false">IF(E237="","",IF(H237="Yes",E237*G237,0))</f>
        <v/>
      </c>
      <c r="J237" s="13" t="str">
        <f aca="false">IF(E237="","",E237-I237)</f>
        <v/>
      </c>
      <c r="K237" s="6"/>
      <c r="L237" s="6"/>
    </row>
    <row r="238" customFormat="false" ht="15" hidden="false" customHeight="false" outlineLevel="0" collapsed="false">
      <c r="A238" s="11"/>
      <c r="B238" s="6"/>
      <c r="C238" s="12" t="str">
        <f aca="false">IF(B238="","",IFERROR(INDEX('Black Registry'!$B$4:$B$103,MATCH(B238,'Black Registry'!$A$4:$A$103,0)),"Not found"))</f>
        <v/>
      </c>
      <c r="D238" s="6"/>
      <c r="E238" s="13" t="str">
        <f aca="false">IF(D238="","",IFERROR(INDEX('Reference Tables'!$B$3:$B$8,MATCH(D238,'Reference Tables'!$A$3:$A$8,0)),"Invalid package"))</f>
        <v/>
      </c>
      <c r="F238" s="12" t="str">
        <f aca="false">IF(D238="","",IFERROR(INDEX('Reference Tables'!$C$3:$C$8,MATCH(D238,'Reference Tables'!$A$3:$A$8,0)),"Invalid package"))</f>
        <v/>
      </c>
      <c r="G238" s="14" t="str">
        <f aca="false">IF(E238="","",'Reference Tables'!$C$16)</f>
        <v/>
      </c>
      <c r="H238" s="12" t="str">
        <f aca="false">IF(E238="","",IF(E238&gt;=150,"Yes","No"))</f>
        <v/>
      </c>
      <c r="I238" s="13" t="str">
        <f aca="false">IF(E238="","",IF(H238="Yes",E238*G238,0))</f>
        <v/>
      </c>
      <c r="J238" s="13" t="str">
        <f aca="false">IF(E238="","",E238-I238)</f>
        <v/>
      </c>
      <c r="K238" s="6"/>
      <c r="L238" s="6"/>
    </row>
    <row r="239" customFormat="false" ht="15" hidden="false" customHeight="false" outlineLevel="0" collapsed="false">
      <c r="A239" s="11"/>
      <c r="B239" s="6"/>
      <c r="C239" s="12" t="str">
        <f aca="false">IF(B239="","",IFERROR(INDEX('Black Registry'!$B$4:$B$103,MATCH(B239,'Black Registry'!$A$4:$A$103,0)),"Not found"))</f>
        <v/>
      </c>
      <c r="D239" s="6"/>
      <c r="E239" s="13" t="str">
        <f aca="false">IF(D239="","",IFERROR(INDEX('Reference Tables'!$B$3:$B$8,MATCH(D239,'Reference Tables'!$A$3:$A$8,0)),"Invalid package"))</f>
        <v/>
      </c>
      <c r="F239" s="12" t="str">
        <f aca="false">IF(D239="","",IFERROR(INDEX('Reference Tables'!$C$3:$C$8,MATCH(D239,'Reference Tables'!$A$3:$A$8,0)),"Invalid package"))</f>
        <v/>
      </c>
      <c r="G239" s="14" t="str">
        <f aca="false">IF(E239="","",'Reference Tables'!$C$16)</f>
        <v/>
      </c>
      <c r="H239" s="12" t="str">
        <f aca="false">IF(E239="","",IF(E239&gt;=150,"Yes","No"))</f>
        <v/>
      </c>
      <c r="I239" s="13" t="str">
        <f aca="false">IF(E239="","",IF(H239="Yes",E239*G239,0))</f>
        <v/>
      </c>
      <c r="J239" s="13" t="str">
        <f aca="false">IF(E239="","",E239-I239)</f>
        <v/>
      </c>
      <c r="K239" s="6"/>
      <c r="L239" s="6"/>
    </row>
    <row r="240" customFormat="false" ht="15" hidden="false" customHeight="false" outlineLevel="0" collapsed="false">
      <c r="A240" s="11"/>
      <c r="B240" s="6"/>
      <c r="C240" s="12" t="str">
        <f aca="false">IF(B240="","",IFERROR(INDEX('Black Registry'!$B$4:$B$103,MATCH(B240,'Black Registry'!$A$4:$A$103,0)),"Not found"))</f>
        <v/>
      </c>
      <c r="D240" s="6"/>
      <c r="E240" s="13" t="str">
        <f aca="false">IF(D240="","",IFERROR(INDEX('Reference Tables'!$B$3:$B$8,MATCH(D240,'Reference Tables'!$A$3:$A$8,0)),"Invalid package"))</f>
        <v/>
      </c>
      <c r="F240" s="12" t="str">
        <f aca="false">IF(D240="","",IFERROR(INDEX('Reference Tables'!$C$3:$C$8,MATCH(D240,'Reference Tables'!$A$3:$A$8,0)),"Invalid package"))</f>
        <v/>
      </c>
      <c r="G240" s="14" t="str">
        <f aca="false">IF(E240="","",'Reference Tables'!$C$16)</f>
        <v/>
      </c>
      <c r="H240" s="12" t="str">
        <f aca="false">IF(E240="","",IF(E240&gt;=150,"Yes","No"))</f>
        <v/>
      </c>
      <c r="I240" s="13" t="str">
        <f aca="false">IF(E240="","",IF(H240="Yes",E240*G240,0))</f>
        <v/>
      </c>
      <c r="J240" s="13" t="str">
        <f aca="false">IF(E240="","",E240-I240)</f>
        <v/>
      </c>
      <c r="K240" s="6"/>
      <c r="L240" s="6"/>
    </row>
    <row r="241" customFormat="false" ht="15" hidden="false" customHeight="false" outlineLevel="0" collapsed="false">
      <c r="A241" s="11"/>
      <c r="B241" s="6"/>
      <c r="C241" s="12" t="str">
        <f aca="false">IF(B241="","",IFERROR(INDEX('Black Registry'!$B$4:$B$103,MATCH(B241,'Black Registry'!$A$4:$A$103,0)),"Not found"))</f>
        <v/>
      </c>
      <c r="D241" s="6"/>
      <c r="E241" s="13" t="str">
        <f aca="false">IF(D241="","",IFERROR(INDEX('Reference Tables'!$B$3:$B$8,MATCH(D241,'Reference Tables'!$A$3:$A$8,0)),"Invalid package"))</f>
        <v/>
      </c>
      <c r="F241" s="12" t="str">
        <f aca="false">IF(D241="","",IFERROR(INDEX('Reference Tables'!$C$3:$C$8,MATCH(D241,'Reference Tables'!$A$3:$A$8,0)),"Invalid package"))</f>
        <v/>
      </c>
      <c r="G241" s="14" t="str">
        <f aca="false">IF(E241="","",'Reference Tables'!$C$16)</f>
        <v/>
      </c>
      <c r="H241" s="12" t="str">
        <f aca="false">IF(E241="","",IF(E241&gt;=150,"Yes","No"))</f>
        <v/>
      </c>
      <c r="I241" s="13" t="str">
        <f aca="false">IF(E241="","",IF(H241="Yes",E241*G241,0))</f>
        <v/>
      </c>
      <c r="J241" s="13" t="str">
        <f aca="false">IF(E241="","",E241-I241)</f>
        <v/>
      </c>
      <c r="K241" s="6"/>
      <c r="L241" s="6"/>
    </row>
    <row r="242" customFormat="false" ht="15" hidden="false" customHeight="false" outlineLevel="0" collapsed="false">
      <c r="A242" s="11"/>
      <c r="B242" s="6"/>
      <c r="C242" s="12" t="str">
        <f aca="false">IF(B242="","",IFERROR(INDEX('Black Registry'!$B$4:$B$103,MATCH(B242,'Black Registry'!$A$4:$A$103,0)),"Not found"))</f>
        <v/>
      </c>
      <c r="D242" s="6"/>
      <c r="E242" s="13" t="str">
        <f aca="false">IF(D242="","",IFERROR(INDEX('Reference Tables'!$B$3:$B$8,MATCH(D242,'Reference Tables'!$A$3:$A$8,0)),"Invalid package"))</f>
        <v/>
      </c>
      <c r="F242" s="12" t="str">
        <f aca="false">IF(D242="","",IFERROR(INDEX('Reference Tables'!$C$3:$C$8,MATCH(D242,'Reference Tables'!$A$3:$A$8,0)),"Invalid package"))</f>
        <v/>
      </c>
      <c r="G242" s="14" t="str">
        <f aca="false">IF(E242="","",'Reference Tables'!$C$16)</f>
        <v/>
      </c>
      <c r="H242" s="12" t="str">
        <f aca="false">IF(E242="","",IF(E242&gt;=150,"Yes","No"))</f>
        <v/>
      </c>
      <c r="I242" s="13" t="str">
        <f aca="false">IF(E242="","",IF(H242="Yes",E242*G242,0))</f>
        <v/>
      </c>
      <c r="J242" s="13" t="str">
        <f aca="false">IF(E242="","",E242-I242)</f>
        <v/>
      </c>
      <c r="K242" s="6"/>
      <c r="L242" s="6"/>
    </row>
    <row r="243" customFormat="false" ht="15" hidden="false" customHeight="false" outlineLevel="0" collapsed="false">
      <c r="A243" s="11"/>
      <c r="B243" s="6"/>
      <c r="C243" s="12" t="str">
        <f aca="false">IF(B243="","",IFERROR(INDEX('Black Registry'!$B$4:$B$103,MATCH(B243,'Black Registry'!$A$4:$A$103,0)),"Not found"))</f>
        <v/>
      </c>
      <c r="D243" s="6"/>
      <c r="E243" s="13" t="str">
        <f aca="false">IF(D243="","",IFERROR(INDEX('Reference Tables'!$B$3:$B$8,MATCH(D243,'Reference Tables'!$A$3:$A$8,0)),"Invalid package"))</f>
        <v/>
      </c>
      <c r="F243" s="12" t="str">
        <f aca="false">IF(D243="","",IFERROR(INDEX('Reference Tables'!$C$3:$C$8,MATCH(D243,'Reference Tables'!$A$3:$A$8,0)),"Invalid package"))</f>
        <v/>
      </c>
      <c r="G243" s="14" t="str">
        <f aca="false">IF(E243="","",'Reference Tables'!$C$16)</f>
        <v/>
      </c>
      <c r="H243" s="12" t="str">
        <f aca="false">IF(E243="","",IF(E243&gt;=150,"Yes","No"))</f>
        <v/>
      </c>
      <c r="I243" s="13" t="str">
        <f aca="false">IF(E243="","",IF(H243="Yes",E243*G243,0))</f>
        <v/>
      </c>
      <c r="J243" s="13" t="str">
        <f aca="false">IF(E243="","",E243-I243)</f>
        <v/>
      </c>
      <c r="K243" s="6"/>
      <c r="L243" s="6"/>
    </row>
    <row r="244" customFormat="false" ht="15" hidden="false" customHeight="false" outlineLevel="0" collapsed="false">
      <c r="A244" s="11"/>
      <c r="B244" s="6"/>
      <c r="C244" s="12" t="str">
        <f aca="false">IF(B244="","",IFERROR(INDEX('Black Registry'!$B$4:$B$103,MATCH(B244,'Black Registry'!$A$4:$A$103,0)),"Not found"))</f>
        <v/>
      </c>
      <c r="D244" s="6"/>
      <c r="E244" s="13" t="str">
        <f aca="false">IF(D244="","",IFERROR(INDEX('Reference Tables'!$B$3:$B$8,MATCH(D244,'Reference Tables'!$A$3:$A$8,0)),"Invalid package"))</f>
        <v/>
      </c>
      <c r="F244" s="12" t="str">
        <f aca="false">IF(D244="","",IFERROR(INDEX('Reference Tables'!$C$3:$C$8,MATCH(D244,'Reference Tables'!$A$3:$A$8,0)),"Invalid package"))</f>
        <v/>
      </c>
      <c r="G244" s="14" t="str">
        <f aca="false">IF(E244="","",'Reference Tables'!$C$16)</f>
        <v/>
      </c>
      <c r="H244" s="12" t="str">
        <f aca="false">IF(E244="","",IF(E244&gt;=150,"Yes","No"))</f>
        <v/>
      </c>
      <c r="I244" s="13" t="str">
        <f aca="false">IF(E244="","",IF(H244="Yes",E244*G244,0))</f>
        <v/>
      </c>
      <c r="J244" s="13" t="str">
        <f aca="false">IF(E244="","",E244-I244)</f>
        <v/>
      </c>
      <c r="K244" s="6"/>
      <c r="L244" s="6"/>
    </row>
    <row r="245" customFormat="false" ht="15" hidden="false" customHeight="false" outlineLevel="0" collapsed="false">
      <c r="A245" s="11"/>
      <c r="B245" s="6"/>
      <c r="C245" s="12" t="str">
        <f aca="false">IF(B245="","",IFERROR(INDEX('Black Registry'!$B$4:$B$103,MATCH(B245,'Black Registry'!$A$4:$A$103,0)),"Not found"))</f>
        <v/>
      </c>
      <c r="D245" s="6"/>
      <c r="E245" s="13" t="str">
        <f aca="false">IF(D245="","",IFERROR(INDEX('Reference Tables'!$B$3:$B$8,MATCH(D245,'Reference Tables'!$A$3:$A$8,0)),"Invalid package"))</f>
        <v/>
      </c>
      <c r="F245" s="12" t="str">
        <f aca="false">IF(D245="","",IFERROR(INDEX('Reference Tables'!$C$3:$C$8,MATCH(D245,'Reference Tables'!$A$3:$A$8,0)),"Invalid package"))</f>
        <v/>
      </c>
      <c r="G245" s="14" t="str">
        <f aca="false">IF(E245="","",'Reference Tables'!$C$16)</f>
        <v/>
      </c>
      <c r="H245" s="12" t="str">
        <f aca="false">IF(E245="","",IF(E245&gt;=150,"Yes","No"))</f>
        <v/>
      </c>
      <c r="I245" s="13" t="str">
        <f aca="false">IF(E245="","",IF(H245="Yes",E245*G245,0))</f>
        <v/>
      </c>
      <c r="J245" s="13" t="str">
        <f aca="false">IF(E245="","",E245-I245)</f>
        <v/>
      </c>
      <c r="K245" s="6"/>
      <c r="L245" s="6"/>
    </row>
    <row r="246" customFormat="false" ht="15" hidden="false" customHeight="false" outlineLevel="0" collapsed="false">
      <c r="A246" s="11"/>
      <c r="B246" s="6"/>
      <c r="C246" s="12" t="str">
        <f aca="false">IF(B246="","",IFERROR(INDEX('Black Registry'!$B$4:$B$103,MATCH(B246,'Black Registry'!$A$4:$A$103,0)),"Not found"))</f>
        <v/>
      </c>
      <c r="D246" s="6"/>
      <c r="E246" s="13" t="str">
        <f aca="false">IF(D246="","",IFERROR(INDEX('Reference Tables'!$B$3:$B$8,MATCH(D246,'Reference Tables'!$A$3:$A$8,0)),"Invalid package"))</f>
        <v/>
      </c>
      <c r="F246" s="12" t="str">
        <f aca="false">IF(D246="","",IFERROR(INDEX('Reference Tables'!$C$3:$C$8,MATCH(D246,'Reference Tables'!$A$3:$A$8,0)),"Invalid package"))</f>
        <v/>
      </c>
      <c r="G246" s="14" t="str">
        <f aca="false">IF(E246="","",'Reference Tables'!$C$16)</f>
        <v/>
      </c>
      <c r="H246" s="12" t="str">
        <f aca="false">IF(E246="","",IF(E246&gt;=150,"Yes","No"))</f>
        <v/>
      </c>
      <c r="I246" s="13" t="str">
        <f aca="false">IF(E246="","",IF(H246="Yes",E246*G246,0))</f>
        <v/>
      </c>
      <c r="J246" s="13" t="str">
        <f aca="false">IF(E246="","",E246-I246)</f>
        <v/>
      </c>
      <c r="K246" s="6"/>
      <c r="L246" s="6"/>
    </row>
    <row r="247" customFormat="false" ht="15" hidden="false" customHeight="false" outlineLevel="0" collapsed="false">
      <c r="A247" s="11"/>
      <c r="B247" s="6"/>
      <c r="C247" s="12" t="str">
        <f aca="false">IF(B247="","",IFERROR(INDEX('Black Registry'!$B$4:$B$103,MATCH(B247,'Black Registry'!$A$4:$A$103,0)),"Not found"))</f>
        <v/>
      </c>
      <c r="D247" s="6"/>
      <c r="E247" s="13" t="str">
        <f aca="false">IF(D247="","",IFERROR(INDEX('Reference Tables'!$B$3:$B$8,MATCH(D247,'Reference Tables'!$A$3:$A$8,0)),"Invalid package"))</f>
        <v/>
      </c>
      <c r="F247" s="12" t="str">
        <f aca="false">IF(D247="","",IFERROR(INDEX('Reference Tables'!$C$3:$C$8,MATCH(D247,'Reference Tables'!$A$3:$A$8,0)),"Invalid package"))</f>
        <v/>
      </c>
      <c r="G247" s="14" t="str">
        <f aca="false">IF(E247="","",'Reference Tables'!$C$16)</f>
        <v/>
      </c>
      <c r="H247" s="12" t="str">
        <f aca="false">IF(E247="","",IF(E247&gt;=150,"Yes","No"))</f>
        <v/>
      </c>
      <c r="I247" s="13" t="str">
        <f aca="false">IF(E247="","",IF(H247="Yes",E247*G247,0))</f>
        <v/>
      </c>
      <c r="J247" s="13" t="str">
        <f aca="false">IF(E247="","",E247-I247)</f>
        <v/>
      </c>
      <c r="K247" s="6"/>
      <c r="L247" s="6"/>
    </row>
    <row r="248" customFormat="false" ht="15" hidden="false" customHeight="false" outlineLevel="0" collapsed="false">
      <c r="A248" s="11"/>
      <c r="B248" s="6"/>
      <c r="C248" s="12" t="str">
        <f aca="false">IF(B248="","",IFERROR(INDEX('Black Registry'!$B$4:$B$103,MATCH(B248,'Black Registry'!$A$4:$A$103,0)),"Not found"))</f>
        <v/>
      </c>
      <c r="D248" s="6"/>
      <c r="E248" s="13" t="str">
        <f aca="false">IF(D248="","",IFERROR(INDEX('Reference Tables'!$B$3:$B$8,MATCH(D248,'Reference Tables'!$A$3:$A$8,0)),"Invalid package"))</f>
        <v/>
      </c>
      <c r="F248" s="12" t="str">
        <f aca="false">IF(D248="","",IFERROR(INDEX('Reference Tables'!$C$3:$C$8,MATCH(D248,'Reference Tables'!$A$3:$A$8,0)),"Invalid package"))</f>
        <v/>
      </c>
      <c r="G248" s="14" t="str">
        <f aca="false">IF(E248="","",'Reference Tables'!$C$16)</f>
        <v/>
      </c>
      <c r="H248" s="12" t="str">
        <f aca="false">IF(E248="","",IF(E248&gt;=150,"Yes","No"))</f>
        <v/>
      </c>
      <c r="I248" s="13" t="str">
        <f aca="false">IF(E248="","",IF(H248="Yes",E248*G248,0))</f>
        <v/>
      </c>
      <c r="J248" s="13" t="str">
        <f aca="false">IF(E248="","",E248-I248)</f>
        <v/>
      </c>
      <c r="K248" s="6"/>
      <c r="L248" s="6"/>
    </row>
    <row r="249" customFormat="false" ht="15" hidden="false" customHeight="false" outlineLevel="0" collapsed="false">
      <c r="A249" s="11"/>
      <c r="B249" s="6"/>
      <c r="C249" s="12" t="str">
        <f aca="false">IF(B249="","",IFERROR(INDEX('Black Registry'!$B$4:$B$103,MATCH(B249,'Black Registry'!$A$4:$A$103,0)),"Not found"))</f>
        <v/>
      </c>
      <c r="D249" s="6"/>
      <c r="E249" s="13" t="str">
        <f aca="false">IF(D249="","",IFERROR(INDEX('Reference Tables'!$B$3:$B$8,MATCH(D249,'Reference Tables'!$A$3:$A$8,0)),"Invalid package"))</f>
        <v/>
      </c>
      <c r="F249" s="12" t="str">
        <f aca="false">IF(D249="","",IFERROR(INDEX('Reference Tables'!$C$3:$C$8,MATCH(D249,'Reference Tables'!$A$3:$A$8,0)),"Invalid package"))</f>
        <v/>
      </c>
      <c r="G249" s="14" t="str">
        <f aca="false">IF(E249="","",'Reference Tables'!$C$16)</f>
        <v/>
      </c>
      <c r="H249" s="12" t="str">
        <f aca="false">IF(E249="","",IF(E249&gt;=150,"Yes","No"))</f>
        <v/>
      </c>
      <c r="I249" s="13" t="str">
        <f aca="false">IF(E249="","",IF(H249="Yes",E249*G249,0))</f>
        <v/>
      </c>
      <c r="J249" s="13" t="str">
        <f aca="false">IF(E249="","",E249-I249)</f>
        <v/>
      </c>
      <c r="K249" s="6"/>
      <c r="L249" s="6"/>
    </row>
    <row r="250" customFormat="false" ht="15" hidden="false" customHeight="false" outlineLevel="0" collapsed="false">
      <c r="A250" s="11"/>
      <c r="B250" s="6"/>
      <c r="C250" s="12" t="str">
        <f aca="false">IF(B250="","",IFERROR(INDEX('Black Registry'!$B$4:$B$103,MATCH(B250,'Black Registry'!$A$4:$A$103,0)),"Not found"))</f>
        <v/>
      </c>
      <c r="D250" s="6"/>
      <c r="E250" s="13" t="str">
        <f aca="false">IF(D250="","",IFERROR(INDEX('Reference Tables'!$B$3:$B$8,MATCH(D250,'Reference Tables'!$A$3:$A$8,0)),"Invalid package"))</f>
        <v/>
      </c>
      <c r="F250" s="12" t="str">
        <f aca="false">IF(D250="","",IFERROR(INDEX('Reference Tables'!$C$3:$C$8,MATCH(D250,'Reference Tables'!$A$3:$A$8,0)),"Invalid package"))</f>
        <v/>
      </c>
      <c r="G250" s="14" t="str">
        <f aca="false">IF(E250="","",'Reference Tables'!$C$16)</f>
        <v/>
      </c>
      <c r="H250" s="12" t="str">
        <f aca="false">IF(E250="","",IF(E250&gt;=150,"Yes","No"))</f>
        <v/>
      </c>
      <c r="I250" s="13" t="str">
        <f aca="false">IF(E250="","",IF(H250="Yes",E250*G250,0))</f>
        <v/>
      </c>
      <c r="J250" s="13" t="str">
        <f aca="false">IF(E250="","",E250-I250)</f>
        <v/>
      </c>
      <c r="K250" s="6"/>
      <c r="L250" s="6"/>
    </row>
    <row r="251" customFormat="false" ht="15" hidden="false" customHeight="false" outlineLevel="0" collapsed="false">
      <c r="A251" s="11"/>
      <c r="B251" s="6"/>
      <c r="C251" s="12" t="str">
        <f aca="false">IF(B251="","",IFERROR(INDEX('Black Registry'!$B$4:$B$103,MATCH(B251,'Black Registry'!$A$4:$A$103,0)),"Not found"))</f>
        <v/>
      </c>
      <c r="D251" s="6"/>
      <c r="E251" s="13" t="str">
        <f aca="false">IF(D251="","",IFERROR(INDEX('Reference Tables'!$B$3:$B$8,MATCH(D251,'Reference Tables'!$A$3:$A$8,0)),"Invalid package"))</f>
        <v/>
      </c>
      <c r="F251" s="12" t="str">
        <f aca="false">IF(D251="","",IFERROR(INDEX('Reference Tables'!$C$3:$C$8,MATCH(D251,'Reference Tables'!$A$3:$A$8,0)),"Invalid package"))</f>
        <v/>
      </c>
      <c r="G251" s="14" t="str">
        <f aca="false">IF(E251="","",'Reference Tables'!$C$16)</f>
        <v/>
      </c>
      <c r="H251" s="12" t="str">
        <f aca="false">IF(E251="","",IF(E251&gt;=150,"Yes","No"))</f>
        <v/>
      </c>
      <c r="I251" s="13" t="str">
        <f aca="false">IF(E251="","",IF(H251="Yes",E251*G251,0))</f>
        <v/>
      </c>
      <c r="J251" s="13" t="str">
        <f aca="false">IF(E251="","",E251-I251)</f>
        <v/>
      </c>
      <c r="K251" s="6"/>
      <c r="L251" s="6"/>
    </row>
    <row r="252" customFormat="false" ht="15" hidden="false" customHeight="false" outlineLevel="0" collapsed="false">
      <c r="A252" s="11"/>
      <c r="B252" s="6"/>
      <c r="C252" s="12" t="str">
        <f aca="false">IF(B252="","",IFERROR(INDEX('Black Registry'!$B$4:$B$103,MATCH(B252,'Black Registry'!$A$4:$A$103,0)),"Not found"))</f>
        <v/>
      </c>
      <c r="D252" s="6"/>
      <c r="E252" s="13" t="str">
        <f aca="false">IF(D252="","",IFERROR(INDEX('Reference Tables'!$B$3:$B$8,MATCH(D252,'Reference Tables'!$A$3:$A$8,0)),"Invalid package"))</f>
        <v/>
      </c>
      <c r="F252" s="12" t="str">
        <f aca="false">IF(D252="","",IFERROR(INDEX('Reference Tables'!$C$3:$C$8,MATCH(D252,'Reference Tables'!$A$3:$A$8,0)),"Invalid package"))</f>
        <v/>
      </c>
      <c r="G252" s="14" t="str">
        <f aca="false">IF(E252="","",'Reference Tables'!$C$16)</f>
        <v/>
      </c>
      <c r="H252" s="12" t="str">
        <f aca="false">IF(E252="","",IF(E252&gt;=150,"Yes","No"))</f>
        <v/>
      </c>
      <c r="I252" s="13" t="str">
        <f aca="false">IF(E252="","",IF(H252="Yes",E252*G252,0))</f>
        <v/>
      </c>
      <c r="J252" s="13" t="str">
        <f aca="false">IF(E252="","",E252-I252)</f>
        <v/>
      </c>
      <c r="K252" s="6"/>
      <c r="L252" s="6"/>
    </row>
    <row r="253" customFormat="false" ht="15" hidden="false" customHeight="false" outlineLevel="0" collapsed="false">
      <c r="A253" s="11"/>
      <c r="B253" s="6"/>
      <c r="C253" s="12" t="str">
        <f aca="false">IF(B253="","",IFERROR(INDEX('Black Registry'!$B$4:$B$103,MATCH(B253,'Black Registry'!$A$4:$A$103,0)),"Not found"))</f>
        <v/>
      </c>
      <c r="D253" s="6"/>
      <c r="E253" s="13" t="str">
        <f aca="false">IF(D253="","",IFERROR(INDEX('Reference Tables'!$B$3:$B$8,MATCH(D253,'Reference Tables'!$A$3:$A$8,0)),"Invalid package"))</f>
        <v/>
      </c>
      <c r="F253" s="12" t="str">
        <f aca="false">IF(D253="","",IFERROR(INDEX('Reference Tables'!$C$3:$C$8,MATCH(D253,'Reference Tables'!$A$3:$A$8,0)),"Invalid package"))</f>
        <v/>
      </c>
      <c r="G253" s="14" t="str">
        <f aca="false">IF(E253="","",'Reference Tables'!$C$16)</f>
        <v/>
      </c>
      <c r="H253" s="12" t="str">
        <f aca="false">IF(E253="","",IF(E253&gt;=150,"Yes","No"))</f>
        <v/>
      </c>
      <c r="I253" s="13" t="str">
        <f aca="false">IF(E253="","",IF(H253="Yes",E253*G253,0))</f>
        <v/>
      </c>
      <c r="J253" s="13" t="str">
        <f aca="false">IF(E253="","",E253-I253)</f>
        <v/>
      </c>
      <c r="K253" s="6"/>
      <c r="L253" s="6"/>
    </row>
  </sheetData>
  <dataValidations count="1">
    <dataValidation allowBlank="true" errorStyle="stop" operator="between" showDropDown="false" showErrorMessage="false" showInputMessage="false" sqref="D4:D253" type="list">
      <formula1>'Reference Tables'!$A$3:$A$8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2026-08-10T11:24:42Z</dcterms:created>
  <dc:creator>openpyxl</dc:creator>
  <dc:description/>
  <dc:language>en-US</dc:language>
  <cp:lastModifiedBy/>
  <dcterms:modified xsi:type="dcterms:W3CDTF">2026-08-10T11:24:43Z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